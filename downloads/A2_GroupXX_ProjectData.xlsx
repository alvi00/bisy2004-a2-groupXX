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ashboard" sheetId="2" state="visible" r:id="rId4"/>
    <sheet name="Risk_Register" sheetId="3" state="visible" r:id="rId5"/>
    <sheet name="Risk_Heatmap_5x5" sheetId="4" state="visible" r:id="rId6"/>
    <sheet name="Cost_Baseline" sheetId="5" state="visible" r:id="rId7"/>
    <sheet name="EVM_Status" sheetId="6" state="visible" r:id="rId8"/>
    <sheet name="Stakeholder_Register" sheetId="7" state="visible" r:id="rId9"/>
    <sheet name="Comms_Plan" sheetId="8" state="visible" r:id="rId10"/>
    <sheet name="RACI" sheetId="9" state="visible" r:id="rId11"/>
    <sheet name="Quality_Metrics" sheetId="10" state="visible" r:id="rId12"/>
    <sheet name="Control_Chart" sheetId="11" state="visible" r:id="rId13"/>
    <sheet name="Change_Log" sheetId="12" state="visible" r:id="rId14"/>
    <sheet name="Issue_Log" sheetId="13" state="visible" r:id="rId15"/>
    <sheet name="Traceability" sheetId="14" state="visible" r:id="rId16"/>
    <sheet name="Closure" sheetId="15" state="visible" r:id="rId17"/>
    <sheet name="Schedule_WBS" sheetId="16" state="visible" r:id="rId18"/>
    <sheet name="Assignments" sheetId="17" state="visible" r:id="rId19"/>
    <sheet name="Resources" sheetId="18" state="visible" r:id="rId20"/>
    <sheet name="Lookups" sheetId="19" state="visible" r:id="rId21"/>
  </sheets>
  <definedNames>
    <definedName function="false" hidden="false" localSheetId="10" name="_xlnm.Print_Area" vbProcedure="false">Control_Chart!$A$1:$J$37</definedName>
    <definedName function="false" hidden="false" localSheetId="4" name="_xlnm.Print_Area" vbProcedure="false">Cost_Baseline!$A$1:$L$36</definedName>
    <definedName function="false" hidden="false" localSheetId="1" name="_xlnm.Print_Area" vbProcedure="false">Dashboard!$A$1:$P$40</definedName>
    <definedName function="false" hidden="false" localSheetId="5" name="_xlnm.Print_Area" vbProcedure="false">EVM_Status!$A$1:$N$45</definedName>
    <definedName function="false" hidden="false" localSheetId="2" name="_xlnm.Print_Area" vbProcedure="false">Risk_Register!$A$1:$U$21</definedName>
    <definedName function="false" hidden="false" name="AC_total" vbProcedure="false">Schedule_WBS!$S$42</definedName>
    <definedName function="false" hidden="false" name="BAC" vbProcedure="false">Schedule_WBS!$N$42</definedName>
    <definedName function="false" hidden="false" name="Contingency" vbProcedure="false">Risk_Register!$T$19</definedName>
    <definedName function="false" hidden="false" name="CPI" vbProcedure="false">EVM_Status!$L$11</definedName>
    <definedName function="false" hidden="false" name="EAC" vbProcedure="false">EVM_Status!$L$12</definedName>
    <definedName function="false" hidden="false" name="EV_total" vbProcedure="false">Schedule_WBS!$R$42</definedName>
    <definedName function="false" hidden="false" name="Holidays" vbProcedure="false">Lookups!$M$5:$M$15</definedName>
    <definedName function="false" hidden="false" name="MgmtReserve" vbProcedure="false">Cost_Baseline!$F$15</definedName>
    <definedName function="false" hidden="false" name="ProbTable" vbProcedure="false">Lookups!$A$5:$D$9</definedName>
    <definedName function="false" hidden="false" name="PV_total" vbProcedure="false">Schedule_WBS!$Q$42</definedName>
    <definedName function="false" hidden="false" name="SPI" vbProcedure="false">EVM_Status!$L$10</definedName>
    <definedName function="false" hidden="false" name="TotalBudget" vbProcedure="false">Cost_Baseline!$F$16</definedName>
    <definedName function="false" hidden="false" name="VAC" vbProcedure="false">EVM_Status!$L$16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<sst xmlns="http://schemas.openxmlformats.org/spreadsheetml/2006/main" count="1668" uniqueCount="926">
  <si>
    <t xml:space="preserve">UniConnect — Student Portal Consolidation — Project data workbook</t>
  </si>
  <si>
    <t xml:space="preserve">BISY2004 Assessment 2 | Group XX | Scenario C | Fictional organisation: Southern Coast University (SCU) — fictional | Status date: Fri 25 Sep 2026</t>
  </si>
  <si>
    <t xml:space="preserve">Everything comes from one data file (data/project.yaml), so the WBS IDs are the same in ProjectLibre, Trello, this workbook and the diagrams. Numbers you type in are inputs; everything else is a formula.</t>
  </si>
  <si>
    <t xml:space="preserve">Sheet</t>
  </si>
  <si>
    <t xml:space="preserve">Purpose</t>
  </si>
  <si>
    <t xml:space="preserve">Role rates (AUD/hour) and headcount — input to all labour costs</t>
  </si>
  <si>
    <t xml:space="preserve">Task × role × units → hours × rate = labour cost (formulas)</t>
  </si>
  <si>
    <t xml:space="preserve">WBS work packages with ProjectLibre IDs, baseline/forecast dates, float, cost, % complete, PV/EV/AC</t>
  </si>
  <si>
    <t xml:space="preserve">13 risks, 5×5 scoring (Score = L×I), rating bands, residual risk, EMV → contingency reserve</t>
  </si>
  <si>
    <t xml:space="preserve">Inherent and residual heat maps (COUNTIFS) with risk IDs in each cell</t>
  </si>
  <si>
    <t xml:space="preserve">Cost by WBS branch, BAC, contingency + management reserve, total budget, monthly time-phased PV</t>
  </si>
  <si>
    <t xml:space="preserve">Weekly PV/EV/AC to the status date; SV, CV, SPI, CPI, EAC (3 methods), ETC, VAC, TCPI with RAG</t>
  </si>
  <si>
    <t xml:space="preserve">KPI tiles, S-curve, risks by rating, milestone status, quality status</t>
  </si>
  <si>
    <t xml:space="preserve">Power/interest scores, quadrant formula, reason, attitude current→desired, strategy</t>
  </si>
  <si>
    <t xml:space="preserve">Who gets what, how, how often, owner, feedback loop</t>
  </si>
  <si>
    <t xml:space="preserve">Deliverables × roles with an 'exactly one A' check per row</t>
  </si>
  <si>
    <t xml:space="preserve">Metrics, targets, current values, RAG</t>
  </si>
  <si>
    <t xml:space="preserve">Defects per week with mean, UCL = mean + 3σ, LCL = max(0, mean − 3σ)</t>
  </si>
  <si>
    <t xml:space="preserve">CR-01..03 with scope/schedule/cost/risk impact and CCB decision</t>
  </si>
  <si>
    <t xml:space="preserve">ISS-01..05 linked to risks, WBS, owners and actions</t>
  </si>
  <si>
    <t xml:space="preserve">WBS → ProjectLibre ID → Trello card → cost → risks → RACI accountable → quality metric</t>
  </si>
  <si>
    <t xml:space="preserve">Closure checklist, benefits realisation plan, lessons learned</t>
  </si>
  <si>
    <t xml:space="preserve">Validation lists and the 5×5 scoring scales</t>
  </si>
  <si>
    <t xml:space="preserve">How to read the status words</t>
  </si>
  <si>
    <t xml:space="preserve">Green</t>
  </si>
  <si>
    <t xml:space="preserve">on target (SPI/CPI 0.95 or more)</t>
  </si>
  <si>
    <t xml:space="preserve">Amber</t>
  </si>
  <si>
    <t xml:space="preserve">keep an eye on it (0.90 to 0.95)</t>
  </si>
  <si>
    <t xml:space="preserve">Red</t>
  </si>
  <si>
    <t xml:space="preserve">needs action now (under 0.90)</t>
  </si>
  <si>
    <t xml:space="preserve">Note</t>
  </si>
  <si>
    <t xml:space="preserve">No colours are used, so every rating is written as a word in the cell.</t>
  </si>
  <si>
    <t xml:space="preserve">UniConnect — Project status dashboard (status date 25 Sep 2026)</t>
  </si>
  <si>
    <t xml:space="preserve">Every tile is a formula that pulls from EVM_Status, Risk_Register, Issue_Log, Change_Log and Quality_Metrics.</t>
  </si>
  <si>
    <t xml:space="preserve">SPI</t>
  </si>
  <si>
    <t xml:space="preserve">CPI</t>
  </si>
  <si>
    <t xml:space="preserve">% complete</t>
  </si>
  <si>
    <t xml:space="preserve">EAC</t>
  </si>
  <si>
    <t xml:space="preserve">VAC</t>
  </si>
  <si>
    <t xml:space="preserve">Open High risks</t>
  </si>
  <si>
    <t xml:space="preserve">Open issues</t>
  </si>
  <si>
    <t xml:space="preserve">CRs approved</t>
  </si>
  <si>
    <t xml:space="preserve">Overall RAG</t>
  </si>
  <si>
    <t xml:space="preserve">Milestones</t>
  </si>
  <si>
    <t xml:space="preserve">Quality metrics</t>
  </si>
  <si>
    <t xml:space="preserve">ID</t>
  </si>
  <si>
    <t xml:space="preserve">Milestone</t>
  </si>
  <si>
    <t xml:space="preserve">Baseline</t>
  </si>
  <si>
    <t xml:space="preserve">Forecast</t>
  </si>
  <si>
    <t xml:space="preserve">Slip (d)</t>
  </si>
  <si>
    <t xml:space="preserve">Status</t>
  </si>
  <si>
    <t xml:space="preserve">Metric</t>
  </si>
  <si>
    <t xml:space="preserve">Current</t>
  </si>
  <si>
    <t xml:space="preserve">RAG</t>
  </si>
  <si>
    <t xml:space="preserve">M1</t>
  </si>
  <si>
    <t xml:space="preserve">Charter approved</t>
  </si>
  <si>
    <t xml:space="preserve">Achieved</t>
  </si>
  <si>
    <t xml:space="preserve">M2</t>
  </si>
  <si>
    <t xml:space="preserve">Design sign-off</t>
  </si>
  <si>
    <t xml:space="preserve">M3</t>
  </si>
  <si>
    <t xml:space="preserve">Build complete</t>
  </si>
  <si>
    <t xml:space="preserve">M4</t>
  </si>
  <si>
    <t xml:space="preserve">Trial migration passed</t>
  </si>
  <si>
    <t xml:space="preserve">M5</t>
  </si>
  <si>
    <t xml:space="preserve">UAT sign-off</t>
  </si>
  <si>
    <t xml:space="preserve">M6</t>
  </si>
  <si>
    <t xml:space="preserve">Go-live</t>
  </si>
  <si>
    <t xml:space="preserve">M7</t>
  </si>
  <si>
    <t xml:space="preserve">Project closed</t>
  </si>
  <si>
    <t xml:space="preserve">Risks by rating</t>
  </si>
  <si>
    <t xml:space="preserve">Rating</t>
  </si>
  <si>
    <t xml:space="preserve">Inherent</t>
  </si>
  <si>
    <t xml:space="preserve">Residual</t>
  </si>
  <si>
    <t xml:space="preserve">Extreme</t>
  </si>
  <si>
    <t xml:space="preserve">High</t>
  </si>
  <si>
    <t xml:space="preserve">Medium</t>
  </si>
  <si>
    <t xml:space="preserve">Low</t>
  </si>
  <si>
    <t xml:space="preserve">Risk register (5×5)</t>
  </si>
  <si>
    <t xml:space="preserve">Score = L × I; bands Low 1–4, Medium 5–9, High 10–16, Extreme 20–25; EMV = probability × cost impact</t>
  </si>
  <si>
    <t xml:space="preserve">Type</t>
  </si>
  <si>
    <t xml:space="preserve">Category</t>
  </si>
  <si>
    <t xml:space="preserve">Description (cause → event → effect)</t>
  </si>
  <si>
    <t xml:space="preserve">WBS links</t>
  </si>
  <si>
    <t xml:space="preserve">L</t>
  </si>
  <si>
    <t xml:space="preserve">I</t>
  </si>
  <si>
    <t xml:space="preserve">Score</t>
  </si>
  <si>
    <t xml:space="preserve">Owner</t>
  </si>
  <si>
    <t xml:space="preserve">Strategy</t>
  </si>
  <si>
    <t xml:space="preserve">Response</t>
  </si>
  <si>
    <t xml:space="preserve">Trigger</t>
  </si>
  <si>
    <t xml:space="preserve">Res. L</t>
  </si>
  <si>
    <t xml:space="preserve">Res. I</t>
  </si>
  <si>
    <t xml:space="preserve">Res. score</t>
  </si>
  <si>
    <t xml:space="preserve">Res. rating</t>
  </si>
  <si>
    <t xml:space="preserve">Probability</t>
  </si>
  <si>
    <t xml:space="preserve">Cost impact</t>
  </si>
  <si>
    <t xml:space="preserve">EMV</t>
  </si>
  <si>
    <t xml:space="preserve">Heat key</t>
  </si>
  <si>
    <t xml:space="preserve">Res. key</t>
  </si>
  <si>
    <t xml:space="preserve">R01</t>
  </si>
  <si>
    <t xml:space="preserve">threat</t>
  </si>
  <si>
    <t xml:space="preserve">Data</t>
  </si>
  <si>
    <t xml:space="preserve">Because legacy SIS/portal data has duplicate and inconsistent student records (cause), trial migration may fail reconciliation (event), delaying the critical migration path and go-live (effect).</t>
  </si>
  <si>
    <t xml:space="preserve">4.1, 4.2, 4.3</t>
  </si>
  <si>
    <t xml:space="preserve">Data Engineer</t>
  </si>
  <si>
    <t xml:space="preserve">Mitigate</t>
  </si>
  <si>
    <t xml:space="preserve">Early data profiling in 2.1; de-duplication rules in 4.1; reconciliation scripts; contingency: cleansing mini-sprint + contractor.</t>
  </si>
  <si>
    <t xml:space="preserve">&gt; 1% duplicate/unmatched records in trial migration 1</t>
  </si>
  <si>
    <t xml:space="preserve">Materialised → ISS-01</t>
  </si>
  <si>
    <t xml:space="preserve">R02</t>
  </si>
  <si>
    <t xml:space="preserve">Technical/Vendor</t>
  </si>
  <si>
    <t xml:space="preserve">Because the LMS vendor's SSO/API support is immature (cause), SSO or LMS integration may not work (event), delaying Sprint 1 and integration APIs (effect).</t>
  </si>
  <si>
    <t xml:space="preserve">2.3, 3.1, 3.5</t>
  </si>
  <si>
    <t xml:space="preserve">Solution Architect</t>
  </si>
  <si>
    <t xml:space="preserve">SSO proof of concept in Sprint 1; vendor SLA with escalation; weekly vendor call (C07).</t>
  </si>
  <si>
    <t xml:space="preserve">SSO PoC fails token exchange by end of Sprint 1</t>
  </si>
  <si>
    <t xml:space="preserve">Open — partly occurred (ISS-02)</t>
  </si>
  <si>
    <t xml:space="preserve">R03</t>
  </si>
  <si>
    <t xml:space="preserve">Compliance/Privacy</t>
  </si>
  <si>
    <t xml:space="preserve">Because migration copies identifiable student data between environments (cause), personal information could be exposed (event), causing a notifiable data breach under APP 11 (effect).</t>
  </si>
  <si>
    <t xml:space="preserve">2.4, 4.2, 4.3, 4.4</t>
  </si>
  <si>
    <t xml:space="preserve">Privacy Officer</t>
  </si>
  <si>
    <t xml:space="preserve">PIA; masked data in non-production; encrypted transfer; access logging; MFA for all users (CR-03).</t>
  </si>
  <si>
    <t xml:space="preserve">Any unmasked personal data found in a non-production environment</t>
  </si>
  <si>
    <t xml:space="preserve">Open</t>
  </si>
  <si>
    <t xml:space="preserve">R04</t>
  </si>
  <si>
    <t xml:space="preserve">Schedule</t>
  </si>
  <si>
    <t xml:space="preserve">Because go-live is close to Semester 1 enrolment (cause), cutover could clash with the enrolment peak (event), disrupting enrolments (effect).</t>
  </si>
  <si>
    <t xml:space="preserve">4.4, 6.3</t>
  </si>
  <si>
    <t xml:space="preserve">Project Manager</t>
  </si>
  <si>
    <t xml:space="preserve">Avoid</t>
  </si>
  <si>
    <t xml:space="preserve">Fixed cutover window 14–20 Jan 2027, change freeze from 1 Feb; fallback: go-live in mid-semester break with legacy portals kept live.</t>
  </si>
  <si>
    <t xml:space="preserve">Forecast go-live later than 29 Jan 2027</t>
  </si>
  <si>
    <t xml:space="preserve">Open — watch (forecast go-live 4 Feb vs 5 Feb deadline)</t>
  </si>
  <si>
    <t xml:space="preserve">R05</t>
  </si>
  <si>
    <t xml:space="preserve">Resource</t>
  </si>
  <si>
    <t xml:space="preserve">Because developers are in high demand (cause), a key developer may resign (event), slowing sprints (effect).</t>
  </si>
  <si>
    <t xml:space="preserve">3.1, 3.2, 3.3, 3.4</t>
  </si>
  <si>
    <t xml:space="preserve">Development Lead</t>
  </si>
  <si>
    <t xml:space="preserve">Pair programming, documented code, retention bonus at go-live.</t>
  </si>
  <si>
    <t xml:space="preserve">Resignation notice from a developer</t>
  </si>
  <si>
    <t xml:space="preserve">R06</t>
  </si>
  <si>
    <t xml:space="preserve">Scope</t>
  </si>
  <si>
    <t xml:space="preserve">Because faculties want their own features (cause), unapproved scope may enter sprints (event), consuming float and budget (effect).</t>
  </si>
  <si>
    <t xml:space="preserve">2.2, 3.2, 3.3, 3.4</t>
  </si>
  <si>
    <t xml:space="preserve">MoSCoW backlog; all requests through CCB (C05); Phase 2 backlog.</t>
  </si>
  <si>
    <t xml:space="preserve">&gt; 2 new feature requests in a sprint</t>
  </si>
  <si>
    <t xml:space="preserve">Occurred → CR-01 deferred</t>
  </si>
  <si>
    <t xml:space="preserve">R07</t>
  </si>
  <si>
    <t xml:space="preserve">Technical/Performance</t>
  </si>
  <si>
    <t xml:space="preserve">Because 5,000+ students log in at once during enrolment (cause), the portal could slow or fail (event), stopping enrolments (effect).</t>
  </si>
  <si>
    <t xml:space="preserve">5.4, 6.3</t>
  </si>
  <si>
    <t xml:space="preserve">Load test at 5,000 concurrent users; autoscaling; CDN caching.</t>
  </si>
  <si>
    <t xml:space="preserve">p95 page load &gt; 2 s in load test</t>
  </si>
  <si>
    <t xml:space="preserve">R08</t>
  </si>
  <si>
    <t xml:space="preserve">Compliance/Accessibility</t>
  </si>
  <si>
    <t xml:space="preserve">Because legacy templates are not accessible (cause), the portal may fail WCAG 2.1 AA (event), excluding students with disability (effect).</t>
  </si>
  <si>
    <t xml:space="preserve">2.5, 5.3</t>
  </si>
  <si>
    <t xml:space="preserve">UX Designer</t>
  </si>
  <si>
    <t xml:space="preserve">Accessible design system; automated scans each sprint; audit 5.3.</t>
  </si>
  <si>
    <t xml:space="preserve">Any critical failure in a sprint accessibility scan</t>
  </si>
  <si>
    <t xml:space="preserve">Open — ISS-04</t>
  </si>
  <si>
    <t xml:space="preserve">R09</t>
  </si>
  <si>
    <t xml:space="preserve">Organisational</t>
  </si>
  <si>
    <t xml:space="preserve">Because students are used to the old portals (cause), adoption may be low (event), reducing benefits (effect).</t>
  </si>
  <si>
    <t xml:space="preserve">6.1, 6.2</t>
  </si>
  <si>
    <t xml:space="preserve">Change &amp; Training Lead</t>
  </si>
  <si>
    <t xml:space="preserve">SRC co-design; pilot champions; go-live campaign (C04, C08).</t>
  </si>
  <si>
    <t xml:space="preserve">Pilot satisfaction &lt; 70%</t>
  </si>
  <si>
    <t xml:space="preserve">R10</t>
  </si>
  <si>
    <t xml:space="preserve">Financial</t>
  </si>
  <si>
    <t xml:space="preserve">Because licences are priced in USD (cause), a weaker AUD could raise licence costs (event), exceeding the cost baseline (effect).</t>
  </si>
  <si>
    <t xml:space="preserve">6.3</t>
  </si>
  <si>
    <t xml:space="preserve">Finance Office</t>
  </si>
  <si>
    <t xml:space="preserve">Transfer</t>
  </si>
  <si>
    <t xml:space="preserve">Fixed-AUD pricing clause negotiated with the vendor.</t>
  </si>
  <si>
    <t xml:space="preserve">AUD/USD &lt; 0.62 before contract signature</t>
  </si>
  <si>
    <t xml:space="preserve">Open — fixed-AUD clause in negotiation</t>
  </si>
  <si>
    <t xml:space="preserve">R11</t>
  </si>
  <si>
    <t xml:space="preserve">Operational</t>
  </si>
  <si>
    <t xml:space="preserve">Because all students switch at once (cause), the Service Desk may be overwhelmed (event), causing long waits and complaints (effect).</t>
  </si>
  <si>
    <t xml:space="preserve">6.1, 6.4</t>
  </si>
  <si>
    <t xml:space="preserve">FAQs, chatbot, surge staff roster, daily hypercare stand-up (C09).</t>
  </si>
  <si>
    <t xml:space="preserve">&gt; 300 portal tickets/day during hypercare</t>
  </si>
  <si>
    <t xml:space="preserve">R12</t>
  </si>
  <si>
    <t xml:space="preserve">opportunity</t>
  </si>
  <si>
    <t xml:space="preserve">Opportunity</t>
  </si>
  <si>
    <t xml:space="preserve">Because SCU already runs an identity platform (cause), SSO could reuse it (event), avoiding a separate identity licence and speeding Sprint 1 (effect).</t>
  </si>
  <si>
    <t xml:space="preserve">2.3, 3.1</t>
  </si>
  <si>
    <t xml:space="preserve">Exploit</t>
  </si>
  <si>
    <t xml:space="preserve">Design SSO on the existing platform; cancel separate IdP quote.</t>
  </si>
  <si>
    <t xml:space="preserve">Architecture review confirms compatibility</t>
  </si>
  <si>
    <t xml:space="preserve">Realised in 2.3 (saving not netted from reserve)</t>
  </si>
  <si>
    <t xml:space="preserve">R13</t>
  </si>
  <si>
    <t xml:space="preserve">Because of the university shutdown and staff leave over summer (cause), key people may be unavailable (event), slowing the faculty pilot (effect).</t>
  </si>
  <si>
    <t xml:space="preserve">6.2</t>
  </si>
  <si>
    <t xml:space="preserve">Accept</t>
  </si>
  <si>
    <t xml:space="preserve">Accepted: shutdown modelled in the ProjectLibre calendar; leave plan agreed by Oct.</t>
  </si>
  <si>
    <t xml:space="preserve">Leave requests overlapping 6.2</t>
  </si>
  <si>
    <t xml:space="preserve">Accepted</t>
  </si>
  <si>
    <t xml:space="preserve">Contingency reserve (threat EMV)</t>
  </si>
  <si>
    <t xml:space="preserve">Opportunity EMV (not netted)</t>
  </si>
  <si>
    <t xml:space="preserve">High/Extreme risks open</t>
  </si>
  <si>
    <t xml:space="preserve">5×5 risk heat map (inherent and residual)</t>
  </si>
  <si>
    <t xml:space="preserve">Each cell counts the risks at that likelihood and impact (COUNTIFS), then shows the band and the risk IDs. Bands: 1–4 Low, 5–9 Medium, 10–16 High, 20–25 Extreme.</t>
  </si>
  <si>
    <t xml:space="preserve">Inherent risk (before response)</t>
  </si>
  <si>
    <t xml:space="preserve">Residual risk (after response)</t>
  </si>
  <si>
    <t xml:space="preserve">Likelihood ↓ / Impact →</t>
  </si>
  <si>
    <t xml:space="preserve">1 Insignificant</t>
  </si>
  <si>
    <t xml:space="preserve">2 Minor</t>
  </si>
  <si>
    <t xml:space="preserve">3 Moderate</t>
  </si>
  <si>
    <t xml:space="preserve">4 Major</t>
  </si>
  <si>
    <t xml:space="preserve">5 Severe</t>
  </si>
  <si>
    <t xml:space="preserve">5 Almost certain</t>
  </si>
  <si>
    <t xml:space="preserve">4 Likely</t>
  </si>
  <si>
    <t xml:space="preserve">3 Possible</t>
  </si>
  <si>
    <t xml:space="preserve">2 Unlikely</t>
  </si>
  <si>
    <t xml:space="preserve">1 Rare</t>
  </si>
  <si>
    <t xml:space="preserve">Risks plotted</t>
  </si>
  <si>
    <t xml:space="preserve">Check: heat-map count equals register count</t>
  </si>
  <si>
    <t xml:space="preserve">What it shows: seven threats start as High (R01 at 4×4 is the worst one). After our responses none of them is above Medium. R03 stays Medium (1×5) because a data breach would still be really bad. R12 is an opportunity, so we want it to happen: its residual score (5×3) being high is a good thing.</t>
  </si>
  <si>
    <t xml:space="preserve">Cost baseline, reserves and budget (AUD)</t>
  </si>
  <si>
    <t xml:space="preserve">UniConnect — Student Portal Consolidation | Status date 25/09/2026 | Source: data/project.yaml</t>
  </si>
  <si>
    <t xml:space="preserve">WBS</t>
  </si>
  <si>
    <t xml:space="preserve">Level-1 deliverable</t>
  </si>
  <si>
    <t xml:space="preserve">Labour hours</t>
  </si>
  <si>
    <t xml:space="preserve">Labour cost</t>
  </si>
  <si>
    <t xml:space="preserve">Fixed / material</t>
  </si>
  <si>
    <t xml:space="preserve">Subtotal</t>
  </si>
  <si>
    <t xml:space="preserve">% of BAC</t>
  </si>
  <si>
    <t xml:space="preserve">Month</t>
  </si>
  <si>
    <t xml:space="preserve">Planned value (month)</t>
  </si>
  <si>
    <t xml:space="preserve">Cumulative PV</t>
  </si>
  <si>
    <t xml:space="preserve">1</t>
  </si>
  <si>
    <t xml:space="preserve">Project Management</t>
  </si>
  <si>
    <t xml:space="preserve">Jul 2026</t>
  </si>
  <si>
    <t xml:space="preserve">2</t>
  </si>
  <si>
    <t xml:space="preserve">Requirements &amp; Design</t>
  </si>
  <si>
    <t xml:space="preserve">Aug 2026</t>
  </si>
  <si>
    <t xml:space="preserve">3</t>
  </si>
  <si>
    <t xml:space="preserve">Portal Build (Agile)</t>
  </si>
  <si>
    <t xml:space="preserve">Sep 2026</t>
  </si>
  <si>
    <t xml:space="preserve">4</t>
  </si>
  <si>
    <t xml:space="preserve">Data Migration</t>
  </si>
  <si>
    <t xml:space="preserve">Oct 2026</t>
  </si>
  <si>
    <t xml:space="preserve">5</t>
  </si>
  <si>
    <t xml:space="preserve">Testing &amp; Quality</t>
  </si>
  <si>
    <t xml:space="preserve">Nov 2026</t>
  </si>
  <si>
    <t xml:space="preserve">6</t>
  </si>
  <si>
    <t xml:space="preserve">Deployment &amp; Transition</t>
  </si>
  <si>
    <t xml:space="preserve">Dec 2026</t>
  </si>
  <si>
    <t xml:space="preserve">Jan 2027</t>
  </si>
  <si>
    <t xml:space="preserve">Cost baseline (BAC)</t>
  </si>
  <si>
    <t xml:space="preserve">Feb 2027</t>
  </si>
  <si>
    <t xml:space="preserve">Contingency reserve (Σ threat EMV, Risk_Register)</t>
  </si>
  <si>
    <t xml:space="preserve">Mar 2027</t>
  </si>
  <si>
    <t xml:space="preserve">Performance measurement baseline = BAC + contingency</t>
  </si>
  <si>
    <t xml:space="preserve">Monthly PV is time-phased from the ProjectLibre baseline (flat work contour).</t>
  </si>
  <si>
    <t xml:space="preserve">Management reserve (5% of BAC, sponsor-held)</t>
  </si>
  <si>
    <t xml:space="preserve">Total project budget</t>
  </si>
  <si>
    <t xml:space="preserve">Check: BAC equals Schedule_WBS total</t>
  </si>
  <si>
    <t xml:space="preserve">Earned value status (to 25 Sep 2026)</t>
  </si>
  <si>
    <t xml:space="preserve">Weekly cumulative PV/EV/AC from the ProjectLibre baseline and progress; summary uses the Schedule_WBS task totals</t>
  </si>
  <si>
    <t xml:space="preserve">Status-date summary</t>
  </si>
  <si>
    <t xml:space="preserve">Week</t>
  </si>
  <si>
    <t xml:space="preserve">Week ending</t>
  </si>
  <si>
    <t xml:space="preserve">PV (cum)</t>
  </si>
  <si>
    <t xml:space="preserve">EV (cum)</t>
  </si>
  <si>
    <t xml:space="preserve">AC (cum)</t>
  </si>
  <si>
    <t xml:space="preserve">SV</t>
  </si>
  <si>
    <t xml:space="preserve">CV</t>
  </si>
  <si>
    <t xml:space="preserve">Budget at completion (BAC)</t>
  </si>
  <si>
    <t xml:space="preserve">Cost baseline (Schedule_WBS)</t>
  </si>
  <si>
    <t xml:space="preserve">Planned value (PV / BCWS)</t>
  </si>
  <si>
    <t xml:space="preserve">ProjectLibre BCWS at status date</t>
  </si>
  <si>
    <t xml:space="preserve">Earned value (EV / BCWP)</t>
  </si>
  <si>
    <t xml:space="preserve">% complete × baseline cost</t>
  </si>
  <si>
    <t xml:space="preserve">Actual cost (AC / ACWP)</t>
  </si>
  <si>
    <t xml:space="preserve">ProjectLibre actual cost</t>
  </si>
  <si>
    <t xml:space="preserve">Schedule variance SV = EV − PV</t>
  </si>
  <si>
    <t xml:space="preserve">Negative = behind schedule</t>
  </si>
  <si>
    <t xml:space="preserve">Cost variance CV = EV − AC</t>
  </si>
  <si>
    <t xml:space="preserve">Negative = over budget</t>
  </si>
  <si>
    <t xml:space="preserve">SPI = EV / PV</t>
  </si>
  <si>
    <t xml:space="preserve">&lt; 1 behind schedule</t>
  </si>
  <si>
    <t xml:space="preserve">CPI = EV / AC</t>
  </si>
  <si>
    <t xml:space="preserve">&lt; 1 over budget</t>
  </si>
  <si>
    <t xml:space="preserve">EAC (typical) = BAC / CPI</t>
  </si>
  <si>
    <t xml:space="preserve">Current cost efficiency continues</t>
  </si>
  <si>
    <t xml:space="preserve">EAC (atypical) = AC + (BAC − EV)</t>
  </si>
  <si>
    <t xml:space="preserve">Variance treated as one-off</t>
  </si>
  <si>
    <t xml:space="preserve">EAC (CPI × SPI) = AC + (BAC − EV)/(CPI×SPI)</t>
  </si>
  <si>
    <t xml:space="preserve">Schedule pressure also drives cost</t>
  </si>
  <si>
    <t xml:space="preserve">ETC = EAC − AC</t>
  </si>
  <si>
    <t xml:space="preserve">Cost to finish (typical)</t>
  </si>
  <si>
    <t xml:space="preserve">VAC = BAC − EAC</t>
  </si>
  <si>
    <t xml:space="preserve">Forecast overrun (typical)</t>
  </si>
  <si>
    <t xml:space="preserve">TCPI = (BAC − EV)/(BAC − AC)</t>
  </si>
  <si>
    <t xml:space="preserve">&gt; 1 = must work more efficiently</t>
  </si>
  <si>
    <t xml:space="preserve">% complete (EV / BAC)</t>
  </si>
  <si>
    <t xml:space="preserve">Physical progress</t>
  </si>
  <si>
    <t xml:space="preserve">% planned (PV / BAC)</t>
  </si>
  <si>
    <t xml:space="preserve">Where we should be</t>
  </si>
  <si>
    <t xml:space="preserve">Contingency reserve</t>
  </si>
  <si>
    <t xml:space="preserve">Covers VAC?</t>
  </si>
  <si>
    <t xml:space="preserve">EAC within BAC + contingency?</t>
  </si>
  <si>
    <t xml:space="preserve">Funding test for the recommendation</t>
  </si>
  <si>
    <t xml:space="preserve">RAG thresholds: ≥ 0.95 Green · 0.90–0.95 Amber · &lt; 0.90 Red (agreed with sponsor).</t>
  </si>
  <si>
    <t xml:space="preserve">Check: weekly status row equals task totals</t>
  </si>
  <si>
    <t xml:space="preserve">Stakeholder register &amp; power–interest classification</t>
  </si>
  <si>
    <t xml:space="preserve">Quadrant formula: power ≥ 4 and interest ≥ 4 → Manage closely; power ≥ 4 → Keep satisfied; interest ≥ 4 → Keep informed; else Monitor</t>
  </si>
  <si>
    <t xml:space="preserve">Stakeholder</t>
  </si>
  <si>
    <t xml:space="preserve">Role</t>
  </si>
  <si>
    <t xml:space="preserve">Power (1–5)</t>
  </si>
  <si>
    <t xml:space="preserve">Interest (1–5)</t>
  </si>
  <si>
    <t xml:space="preserve">Quadrant (formula)</t>
  </si>
  <si>
    <t xml:space="preserve">Reason for classification</t>
  </si>
  <si>
    <t xml:space="preserve">Current attitude</t>
  </si>
  <si>
    <t xml:space="preserve">Desired attitude</t>
  </si>
  <si>
    <t xml:space="preserve">Engagement strategy</t>
  </si>
  <si>
    <t xml:space="preserve">Comms ref</t>
  </si>
  <si>
    <t xml:space="preserve">S01</t>
  </si>
  <si>
    <t xml:space="preserve">Deputy Vice-Chancellor (Education)</t>
  </si>
  <si>
    <t xml:space="preserve">Project sponsor</t>
  </si>
  <si>
    <t xml:space="preserve">Funds the project, chairs the steering committee and owns the go/no-go decision.</t>
  </si>
  <si>
    <t xml:space="preserve">Supportive</t>
  </si>
  <si>
    <t xml:space="preserve">Leading</t>
  </si>
  <si>
    <t xml:space="preserve">Fortnightly steering committee; early warning of variances; decisions requested with options.</t>
  </si>
  <si>
    <t xml:space="preserve">C01, C05</t>
  </si>
  <si>
    <t xml:space="preserve">S02</t>
  </si>
  <si>
    <t xml:space="preserve">Chief Information Officer</t>
  </si>
  <si>
    <t xml:space="preserve">IT executive</t>
  </si>
  <si>
    <t xml:space="preserve">Owns IT architecture, operations and the identity platform; can reprioritise IT staff.</t>
  </si>
  <si>
    <t xml:space="preserve">Steering committee member; architecture decisions escalated directly.</t>
  </si>
  <si>
    <t xml:space="preserve">C01, C02</t>
  </si>
  <si>
    <t xml:space="preserve">S03</t>
  </si>
  <si>
    <t xml:space="preserve">Academic Registrar</t>
  </si>
  <si>
    <t xml:space="preserve">Data owner — student records</t>
  </si>
  <si>
    <t xml:space="preserve">Owns enrolment and student data; signs migration reconciliation; worried about enrolment disruption.</t>
  </si>
  <si>
    <t xml:space="preserve">Neutral</t>
  </si>
  <si>
    <t xml:space="preserve">Involve in cleansing decisions and reconciliation sign-off; privacy briefings before each migration.</t>
  </si>
  <si>
    <t xml:space="preserve">C01, C06</t>
  </si>
  <si>
    <t xml:space="preserve">S04</t>
  </si>
  <si>
    <t xml:space="preserve">Faculty Deans</t>
  </si>
  <si>
    <t xml:space="preserve">Academic leadership</t>
  </si>
  <si>
    <t xml:space="preserve">Can escalate to the DVC and control faculty staff time, but day-to-day interest is moderate.</t>
  </si>
  <si>
    <t xml:space="preserve">Resistant</t>
  </si>
  <si>
    <t xml:space="preserve">Monthly faculty briefings; route feature requests through the CCB (CR-01).</t>
  </si>
  <si>
    <t xml:space="preserve">C11, C02</t>
  </si>
  <si>
    <t xml:space="preserve">S05</t>
  </si>
  <si>
    <t xml:space="preserve">Students (domestic &amp; international)</t>
  </si>
  <si>
    <t xml:space="preserve">Primary users</t>
  </si>
  <si>
    <t xml:space="preserve">Most affected by the change but have no formal decision rights; influence is via the SRC.</t>
  </si>
  <si>
    <t xml:space="preserve">Unaware</t>
  </si>
  <si>
    <t xml:space="preserve">Co-design via SRC, pilot, newsletters and go-live campaign; multilingual guides for international students.</t>
  </si>
  <si>
    <t xml:space="preserve">C04, C08</t>
  </si>
  <si>
    <t xml:space="preserve">S06</t>
  </si>
  <si>
    <t xml:space="preserve">Student Representative Council (SRC)</t>
  </si>
  <si>
    <t xml:space="preserve">Student voice</t>
  </si>
  <si>
    <t xml:space="preserve">Speaks for students and can create reputational pressure, but has no budget or approval authority.</t>
  </si>
  <si>
    <t xml:space="preserve">Sprint review participation; co-design sessions; pilot champions.</t>
  </si>
  <si>
    <t xml:space="preserve">C03, C04</t>
  </si>
  <si>
    <t xml:space="preserve">S07</t>
  </si>
  <si>
    <t xml:space="preserve">Academic staff</t>
  </si>
  <si>
    <t xml:space="preserve">Secondary users (LMS gateway)</t>
  </si>
  <si>
    <t xml:space="preserve">Affected only via LMS links and student questions; little authority over the project.</t>
  </si>
  <si>
    <t xml:space="preserve">General updates through faculty briefings; quick-reference guide.</t>
  </si>
  <si>
    <t xml:space="preserve">C11</t>
  </si>
  <si>
    <t xml:space="preserve">S08</t>
  </si>
  <si>
    <t xml:space="preserve">IT Service Desk</t>
  </si>
  <si>
    <t xml:space="preserve">Support provider</t>
  </si>
  <si>
    <t xml:space="preserve">Absorbs go-live ticket volume (R11) but does not approve scope or budget.</t>
  </si>
  <si>
    <t xml:space="preserve">Concerned</t>
  </si>
  <si>
    <t xml:space="preserve">Early training, knowledge base, hypercare stand-ups.</t>
  </si>
  <si>
    <t xml:space="preserve">C08, C09</t>
  </si>
  <si>
    <t xml:space="preserve">S09</t>
  </si>
  <si>
    <t xml:space="preserve">Budget &amp; fees integration</t>
  </si>
  <si>
    <t xml:space="preserve">Releases funds and owns the fees system, but is interested mainly in cost and integration points.</t>
  </si>
  <si>
    <t xml:space="preserve">Monthly cost/EVM summary; CCB member for cost-affecting changes.</t>
  </si>
  <si>
    <t xml:space="preserve">S10</t>
  </si>
  <si>
    <t xml:space="preserve">Compliance (Privacy Act/APPs)</t>
  </si>
  <si>
    <t xml:space="preserve">Can halt migration on privacy grounds and must approve the PIA (R03, CR-03).</t>
  </si>
  <si>
    <t xml:space="preserve">Cautious</t>
  </si>
  <si>
    <t xml:space="preserve">PIA co-owner; privacy briefing before every migration; CCB member.</t>
  </si>
  <si>
    <t xml:space="preserve">C06, C05</t>
  </si>
  <si>
    <t xml:space="preserve">S11</t>
  </si>
  <si>
    <t xml:space="preserve">Accessibility Services</t>
  </si>
  <si>
    <t xml:space="preserve">Disability advocacy</t>
  </si>
  <si>
    <t xml:space="preserve">Advocates for students with disability (WCAG, R08) but has advisory, not approval, power.</t>
  </si>
  <si>
    <t xml:space="preserve">Prototype testing and WCAG audit review; sprint reviews.</t>
  </si>
  <si>
    <t xml:space="preserve">C03</t>
  </si>
  <si>
    <t xml:space="preserve">S12</t>
  </si>
  <si>
    <t xml:space="preserve">LMS vendor</t>
  </si>
  <si>
    <t xml:space="preserve">Supplier — LMS API</t>
  </si>
  <si>
    <t xml:space="preserve">Controls the LMS API and SSO support (R02) through the contract, but has low interest in our timeline.</t>
  </si>
  <si>
    <t xml:space="preserve">Weekly vendor call; SLA escalation path via the CIO.</t>
  </si>
  <si>
    <t xml:space="preserve">C07</t>
  </si>
  <si>
    <t xml:space="preserve">S13</t>
  </si>
  <si>
    <t xml:space="preserve">Portal platform vendor</t>
  </si>
  <si>
    <t xml:space="preserve">Supplier — portal platform</t>
  </si>
  <si>
    <t xml:space="preserve">Keen on a reference site; limited leverage because the contract is signed.</t>
  </si>
  <si>
    <t xml:space="preserve">Weekly vendor call; joint defect triage.</t>
  </si>
  <si>
    <t xml:space="preserve">S14</t>
  </si>
  <si>
    <t xml:space="preserve">TEQSA (regulator)</t>
  </si>
  <si>
    <t xml:space="preserve">External regulator</t>
  </si>
  <si>
    <t xml:space="preserve">Can impose conditions on the university but is only interested if student outcomes or data are compromised.</t>
  </si>
  <si>
    <t xml:space="preserve">Keep satisfied via the Registrar's routine compliance reporting; notify only if a material incident occurs.</t>
  </si>
  <si>
    <t xml:space="preserve">C10</t>
  </si>
  <si>
    <t xml:space="preserve">Manage closely</t>
  </si>
  <si>
    <t xml:space="preserve">Keep satisfied</t>
  </si>
  <si>
    <t xml:space="preserve">Keep informed</t>
  </si>
  <si>
    <t xml:space="preserve">Monitor</t>
  </si>
  <si>
    <t xml:space="preserve">Communication plan</t>
  </si>
  <si>
    <t xml:space="preserve">Audience</t>
  </si>
  <si>
    <t xml:space="preserve">Information</t>
  </si>
  <si>
    <t xml:space="preserve">Method</t>
  </si>
  <si>
    <t xml:space="preserve">Frequency</t>
  </si>
  <si>
    <t xml:space="preserve">Feedback</t>
  </si>
  <si>
    <t xml:space="preserve">Stakeholders served</t>
  </si>
  <si>
    <t xml:space="preserve">C01</t>
  </si>
  <si>
    <t xml:space="preserve">Steering committee (DVC, CIO, Registrar, Finance)</t>
  </si>
  <si>
    <t xml:space="preserve">Status dashboard, EVM, top risks, decisions needed</t>
  </si>
  <si>
    <t xml:space="preserve">Meeting + dashboard PDF</t>
  </si>
  <si>
    <t xml:space="preserve">Fortnightly</t>
  </si>
  <si>
    <t xml:space="preserve">Minutes and action log</t>
  </si>
  <si>
    <t xml:space="preserve">S01, S02, S03, S09</t>
  </si>
  <si>
    <t xml:space="preserve">C02</t>
  </si>
  <si>
    <t xml:space="preserve">Sponsor, CIO, Deans, Privacy Officer</t>
  </si>
  <si>
    <t xml:space="preserve">Weekly status report (RAG, SPI/CPI, issues)</t>
  </si>
  <si>
    <t xml:space="preserve">Email report</t>
  </si>
  <si>
    <t xml:space="preserve">Weekly (Friday)</t>
  </si>
  <si>
    <t xml:space="preserve">Reply/queries to PM</t>
  </si>
  <si>
    <t xml:space="preserve">S02, S04</t>
  </si>
  <si>
    <t xml:space="preserve">Registrar's team, SRC, Accessibility Services</t>
  </si>
  <si>
    <t xml:space="preserve">Sprint demo of working features</t>
  </si>
  <si>
    <t xml:space="preserve">Sprint review (hybrid meeting)</t>
  </si>
  <si>
    <t xml:space="preserve">Every 2 weeks</t>
  </si>
  <si>
    <t xml:space="preserve">Backlog items raised in Trello</t>
  </si>
  <si>
    <t xml:space="preserve">S06, S11</t>
  </si>
  <si>
    <t xml:space="preserve">C04</t>
  </si>
  <si>
    <t xml:space="preserve">Students</t>
  </si>
  <si>
    <t xml:space="preserve">What is changing, when, pilot invitations</t>
  </si>
  <si>
    <t xml:space="preserve">Newsletter, portal banner, social media</t>
  </si>
  <si>
    <t xml:space="preserve">Monthly; weekly from Dec</t>
  </si>
  <si>
    <t xml:space="preserve">Survey and SRC channel</t>
  </si>
  <si>
    <t xml:space="preserve">S05, S06</t>
  </si>
  <si>
    <t xml:space="preserve">C05</t>
  </si>
  <si>
    <t xml:space="preserve">Change Control Board</t>
  </si>
  <si>
    <t xml:space="preserve">Change requests with impact analysis</t>
  </si>
  <si>
    <t xml:space="preserve">CCB meeting</t>
  </si>
  <si>
    <t xml:space="preserve">Fortnightly or ad hoc</t>
  </si>
  <si>
    <t xml:space="preserve">Decision recorded in change log</t>
  </si>
  <si>
    <t xml:space="preserve">S01, S09, S10</t>
  </si>
  <si>
    <t xml:space="preserve">C06</t>
  </si>
  <si>
    <t xml:space="preserve">Privacy Officer, Registrar</t>
  </si>
  <si>
    <t xml:space="preserve">Migration controls, masking, reconciliation results</t>
  </si>
  <si>
    <t xml:space="preserve">Privacy briefing</t>
  </si>
  <si>
    <t xml:space="preserve">Before each migration run</t>
  </si>
  <si>
    <t xml:space="preserve">Written approval to proceed</t>
  </si>
  <si>
    <t xml:space="preserve">S03, S10</t>
  </si>
  <si>
    <t xml:space="preserve">LMS vendor, portal platform vendor</t>
  </si>
  <si>
    <t xml:space="preserve">Integration defects, API changes, SLAs</t>
  </si>
  <si>
    <t xml:space="preserve">Vendor call</t>
  </si>
  <si>
    <t xml:space="preserve">Weekly</t>
  </si>
  <si>
    <t xml:space="preserve">Joint defect log</t>
  </si>
  <si>
    <t xml:space="preserve">S12, S13</t>
  </si>
  <si>
    <t xml:space="preserve">C08</t>
  </si>
  <si>
    <t xml:space="preserve">Students, staff, IT Service Desk</t>
  </si>
  <si>
    <t xml:space="preserve">Go-live comms pack: how to log in, where to get help</t>
  </si>
  <si>
    <t xml:space="preserve">Email, intranet, FAQs, posters</t>
  </si>
  <si>
    <t xml:space="preserve">4 weeks, 1 week and day 0 before go-live</t>
  </si>
  <si>
    <t xml:space="preserve">Help-page analytics, tickets</t>
  </si>
  <si>
    <t xml:space="preserve">S05, S08</t>
  </si>
  <si>
    <t xml:space="preserve">C09</t>
  </si>
  <si>
    <t xml:space="preserve">IT Service Desk, Dev, Data Engineer</t>
  </si>
  <si>
    <t xml:space="preserve">Incidents, ticket trends, fixes</t>
  </si>
  <si>
    <t xml:space="preserve">Stand-up (15 min)</t>
  </si>
  <si>
    <t xml:space="preserve">Daily during hypercare</t>
  </si>
  <si>
    <t xml:space="preserve">Incident log</t>
  </si>
  <si>
    <t xml:space="preserve">TEQSA (via Registrar)</t>
  </si>
  <si>
    <t xml:space="preserve">Compliance summary; material incidents only</t>
  </si>
  <si>
    <t xml:space="preserve">Formal report</t>
  </si>
  <si>
    <t xml:space="preserve">Quarterly / as required</t>
  </si>
  <si>
    <t xml:space="preserve">Regulator correspondence</t>
  </si>
  <si>
    <t xml:space="preserve">Faculty Deans, academic staff</t>
  </si>
  <si>
    <t xml:space="preserve">Scope, dates, pilot, LMS link changes</t>
  </si>
  <si>
    <t xml:space="preserve">Faculty briefing</t>
  </si>
  <si>
    <t xml:space="preserve">Monthly</t>
  </si>
  <si>
    <t xml:space="preserve">Q&amp;A; requests routed to CCB</t>
  </si>
  <si>
    <t xml:space="preserve">S04, S07</t>
  </si>
  <si>
    <t xml:space="preserve">RACI matrix</t>
  </si>
  <si>
    <t xml:space="preserve">Exactly one A (Accountable) per deliverable — checked by formula</t>
  </si>
  <si>
    <t xml:space="preserve">Deliverable</t>
  </si>
  <si>
    <t xml:space="preserve">Sponsor</t>
  </si>
  <si>
    <t xml:space="preserve">Business Analyst</t>
  </si>
  <si>
    <t xml:space="preserve">Test Lead</t>
  </si>
  <si>
    <t xml:space="preserve">A count</t>
  </si>
  <si>
    <t xml:space="preserve">Check</t>
  </si>
  <si>
    <t xml:space="preserve">Project charter</t>
  </si>
  <si>
    <t xml:space="preserve">1.1</t>
  </si>
  <si>
    <t xml:space="preserve">A</t>
  </si>
  <si>
    <t xml:space="preserve">R</t>
  </si>
  <si>
    <t xml:space="preserve">C</t>
  </si>
  <si>
    <t xml:space="preserve">PM plan &amp; baselines / monitoring &amp; control</t>
  </si>
  <si>
    <t xml:space="preserve">1.2, 1.3</t>
  </si>
  <si>
    <t xml:space="preserve">Requirements &amp; audit</t>
  </si>
  <si>
    <t xml:space="preserve">2.1, 2.2</t>
  </si>
  <si>
    <t xml:space="preserve">Solution &amp; SSO architecture</t>
  </si>
  <si>
    <t xml:space="preserve">2.3</t>
  </si>
  <si>
    <t xml:space="preserve">Privacy Impact Assessment</t>
  </si>
  <si>
    <t xml:space="preserve">2.4</t>
  </si>
  <si>
    <t xml:space="preserve">UX prototype &amp; accessibility</t>
  </si>
  <si>
    <t xml:space="preserve">Portal features (Sprints 1–4) &amp; configuration</t>
  </si>
  <si>
    <t xml:space="preserve">3.1, 3.2, 3.3, 3.4, 3.6</t>
  </si>
  <si>
    <t xml:space="preserve">Integration APIs &amp; load testing</t>
  </si>
  <si>
    <t xml:space="preserve">3.5, 5.4</t>
  </si>
  <si>
    <t xml:space="preserve">Data migration (mapping, trials, final)</t>
  </si>
  <si>
    <t xml:space="preserve">4.1, 4.2, 4.3, 4.4</t>
  </si>
  <si>
    <t xml:space="preserve">Testing (SIT, security, UAT, regression)</t>
  </si>
  <si>
    <t xml:space="preserve">5.1, 5.2, 5.5, 5.6</t>
  </si>
  <si>
    <t xml:space="preserve">Training, pilot &amp; go-live cutover</t>
  </si>
  <si>
    <t xml:space="preserve">6.1, 6.2, 6.3</t>
  </si>
  <si>
    <t xml:space="preserve">Hypercare, decommissioning &amp; closure</t>
  </si>
  <si>
    <t xml:space="preserve">6.4, 6.5, 1.4</t>
  </si>
  <si>
    <t xml:space="preserve">R = Responsible · A = Accountable (one per row) · C = Consulted · I = Informed</t>
  </si>
  <si>
    <t xml:space="preserve">Target</t>
  </si>
  <si>
    <t xml:space="preserve">Measurement method</t>
  </si>
  <si>
    <t xml:space="preserve">Current value</t>
  </si>
  <si>
    <t xml:space="preserve">Q01</t>
  </si>
  <si>
    <t xml:space="preserve">Migration record accuracy</t>
  </si>
  <si>
    <t xml:space="preserve">≥ 99.5% reconciled</t>
  </si>
  <si>
    <t xml:space="preserve">Automated reconciliation report vs source counts</t>
  </si>
  <si>
    <t xml:space="preserve">Each trial run</t>
  </si>
  <si>
    <t xml:space="preserve">95.3% (trial 1)</t>
  </si>
  <si>
    <t xml:space="preserve">4.3</t>
  </si>
  <si>
    <t xml:space="preserve">Q02</t>
  </si>
  <si>
    <t xml:space="preserve">Portal availability</t>
  </si>
  <si>
    <t xml:space="preserve">≥ 99.5%</t>
  </si>
  <si>
    <t xml:space="preserve">Uptime monitoring</t>
  </si>
  <si>
    <t xml:space="preserve">99.2% (test env.)</t>
  </si>
  <si>
    <t xml:space="preserve">6.4</t>
  </si>
  <si>
    <t xml:space="preserve">Q03</t>
  </si>
  <si>
    <t xml:space="preserve">Page load p95 at 5,000 concurrent users</t>
  </si>
  <si>
    <t xml:space="preserve">&lt; 2 s</t>
  </si>
  <si>
    <t xml:space="preserve">Load test tool (5.4)</t>
  </si>
  <si>
    <t xml:space="preserve">Load test + go-live</t>
  </si>
  <si>
    <t xml:space="preserve">Not yet tested</t>
  </si>
  <si>
    <t xml:space="preserve">Grey</t>
  </si>
  <si>
    <t xml:space="preserve">5.4</t>
  </si>
  <si>
    <t xml:space="preserve">Q04</t>
  </si>
  <si>
    <t xml:space="preserve">WCAG 2.1 AA critical failures</t>
  </si>
  <si>
    <t xml:space="preserve">0</t>
  </si>
  <si>
    <t xml:space="preserve">Automated scan each sprint + audit</t>
  </si>
  <si>
    <t xml:space="preserve">Each sprint</t>
  </si>
  <si>
    <t xml:space="preserve">2 (Sprint 1 scan)</t>
  </si>
  <si>
    <t xml:space="preserve">5.3</t>
  </si>
  <si>
    <t xml:space="preserve">Q05</t>
  </si>
  <si>
    <t xml:space="preserve">UAT pass rate</t>
  </si>
  <si>
    <t xml:space="preserve">≥ 95%</t>
  </si>
  <si>
    <t xml:space="preserve">UAT scripts passed / executed</t>
  </si>
  <si>
    <t xml:space="preserve">Daily in UAT</t>
  </si>
  <si>
    <t xml:space="preserve">Not started</t>
  </si>
  <si>
    <t xml:space="preserve">5.5</t>
  </si>
  <si>
    <t xml:space="preserve">Q06</t>
  </si>
  <si>
    <t xml:space="preserve">Open Severity-1 defects at go-live</t>
  </si>
  <si>
    <t xml:space="preserve">Defect tracker</t>
  </si>
  <si>
    <t xml:space="preserve">1 open (ISS-02)</t>
  </si>
  <si>
    <t xml:space="preserve">5.6</t>
  </si>
  <si>
    <t xml:space="preserve">Q07</t>
  </si>
  <si>
    <t xml:space="preserve">Portal-related helpdesk tickets</t>
  </si>
  <si>
    <t xml:space="preserve">−30% within 3 months</t>
  </si>
  <si>
    <t xml:space="preserve">Service Desk reports vs 4,200/month baseline</t>
  </si>
  <si>
    <t xml:space="preserve">Monthly after go-live</t>
  </si>
  <si>
    <t xml:space="preserve">Baseline 4,200/month</t>
  </si>
  <si>
    <t xml:space="preserve">Control chart — defects logged per week</t>
  </si>
  <si>
    <t xml:space="preserve">Mean and σ from the stable baseline period (weeks 3–11); UCL = mean + 3σ; LCL = max(0, mean − 3σ)</t>
  </si>
  <si>
    <t xml:space="preserve">Defects</t>
  </si>
  <si>
    <t xml:space="preserve">Mean</t>
  </si>
  <si>
    <t xml:space="preserve">UCL</t>
  </si>
  <si>
    <t xml:space="preserve">LCL</t>
  </si>
  <si>
    <t xml:space="preserve">Out of control?</t>
  </si>
  <si>
    <t xml:space="preserve">Baseline mean</t>
  </si>
  <si>
    <t xml:space="preserve">Baseline σ (sample)</t>
  </si>
  <si>
    <t xml:space="preserve">Interpretation: Week 12 (14 defects) is above the UCL: a special cause, traced to duplicate records in trial migration 1 (ISS-01), not random variation. Action: root-cause analysis and CR-02.</t>
  </si>
  <si>
    <t xml:space="preserve">Change log (CCB decisions)</t>
  </si>
  <si>
    <t xml:space="preserve">CR</t>
  </si>
  <si>
    <t xml:space="preserve">Date</t>
  </si>
  <si>
    <t xml:space="preserve">Requester</t>
  </si>
  <si>
    <t xml:space="preserve">Description</t>
  </si>
  <si>
    <t xml:space="preserve">WBS affected</t>
  </si>
  <si>
    <t xml:space="preserve">Risks / issues</t>
  </si>
  <si>
    <t xml:space="preserve">Scope impact</t>
  </si>
  <si>
    <t xml:space="preserve">Schedule impact</t>
  </si>
  <si>
    <t xml:space="preserve">Risk impact</t>
  </si>
  <si>
    <t xml:space="preserve">CCB decision</t>
  </si>
  <si>
    <t xml:space="preserve">CCB date</t>
  </si>
  <si>
    <t xml:space="preserve">Rationale</t>
  </si>
  <si>
    <t xml:space="preserve">Baseline updated</t>
  </si>
  <si>
    <t xml:space="preserve">Artefacts updated</t>
  </si>
  <si>
    <t xml:space="preserve">CR-01</t>
  </si>
  <si>
    <t xml:space="preserve">Faculty of Business (Dean)</t>
  </si>
  <si>
    <t xml:space="preserve">Add mobile push notifications for timetable and fee reminders.</t>
  </si>
  <si>
    <t xml:space="preserve">3.2, 3.6</t>
  </si>
  <si>
    <t xml:space="preserve">R06, ISS-03</t>
  </si>
  <si>
    <t xml:space="preserve">New feature + native app work (out of scope)</t>
  </si>
  <si>
    <t xml:space="preserve">+10 working days on Sprint 2/3 (critical-path pressure)</t>
  </si>
  <si>
    <t xml:space="preserve">+$42,000</t>
  </si>
  <si>
    <t xml:space="preserve">Raises R06 and R05</t>
  </si>
  <si>
    <t xml:space="preserve">Deferred</t>
  </si>
  <si>
    <t xml:space="preserve">Scope creep; would consume float and threaten go-live. Added to Phase 2 backlog. Email notifications (3.6) cover the need.</t>
  </si>
  <si>
    <t xml:space="preserve">No</t>
  </si>
  <si>
    <t xml:space="preserve">Change log, Phase 2 backlog (Trello), comms to Deans (C11)</t>
  </si>
  <si>
    <t xml:space="preserve">CR-02</t>
  </si>
  <si>
    <t xml:space="preserve">Data Engineer / Project Manager</t>
  </si>
  <si>
    <t xml:space="preserve">Add a data-cleansing mini-sprint and a 3-week contract data engineer to recover trial migration 1 (response to ISS-01).</t>
  </si>
  <si>
    <t xml:space="preserve">4.2, 4.3</t>
  </si>
  <si>
    <t xml:space="preserve">R01, R04, ISS-01</t>
  </si>
  <si>
    <t xml:space="preserve">No change to product scope; adds cleansing activity</t>
  </si>
  <si>
    <t xml:space="preserve">Recovers about 8 of the 10 forecast slip days (crashing 4.2/4.3 + fast-tracking SIT preparation)</t>
  </si>
  <si>
    <t xml:space="preserve">+$23,800 (contractor $15,600 + internal effort $8,200) from contingency reserve</t>
  </si>
  <si>
    <t xml:space="preserve">Reduces R01 and R04; small new onboarding risk</t>
  </si>
  <si>
    <t xml:space="preserve">Approved</t>
  </si>
  <si>
    <t xml:space="preserve">Protects the critical path and hard go-live deadline; cost is within the R01 contingency allocation ($39,000).</t>
  </si>
  <si>
    <t xml:space="preserve">Yes — cost baseline +$23,800 (contingency drawdown); schedule re-baselined as Baseline 1 from 28 Sep</t>
  </si>
  <si>
    <t xml:space="preserve">Change log, cost baseline, ProjectLibre schedule, risk register (R01), Trello [4.2]/[4.3], status report</t>
  </si>
  <si>
    <t xml:space="preserve">CR-03</t>
  </si>
  <si>
    <t xml:space="preserve">Make multi-factor authentication (MFA) mandatory for all students, not only staff.</t>
  </si>
  <si>
    <t xml:space="preserve">3.1, 6.1</t>
  </si>
  <si>
    <t xml:space="preserve">R03, R11, ISS-05</t>
  </si>
  <si>
    <t xml:space="preserve">Small: MFA enrolment flow + help content</t>
  </si>
  <si>
    <t xml:space="preserve">+2 days in Sprint 2 (absorbed by float)</t>
  </si>
  <si>
    <t xml:space="preserve">+$4,200</t>
  </si>
  <si>
    <t xml:space="preserve">Reduces R03; slightly raises R11 (MFA help tickets)</t>
  </si>
  <si>
    <t xml:space="preserve">Compliance with APP 11 'reasonable steps'; low cost; uses float not critical path.</t>
  </si>
  <si>
    <t xml:space="preserve">Yes — scope statement and Sprint 2 backlog</t>
  </si>
  <si>
    <t xml:space="preserve">Scope statement, Trello Sprint 2 cards, training plan (6.1), risk register</t>
  </si>
  <si>
    <t xml:space="preserve">Issue log</t>
  </si>
  <si>
    <t xml:space="preserve">Issue</t>
  </si>
  <si>
    <t xml:space="preserve">Linked risk</t>
  </si>
  <si>
    <t xml:space="preserve">Impact</t>
  </si>
  <si>
    <t xml:space="preserve">Corrective action</t>
  </si>
  <si>
    <t xml:space="preserve">Due</t>
  </si>
  <si>
    <t xml:space="preserve">Days open</t>
  </si>
  <si>
    <t xml:space="preserve">ISS-01</t>
  </si>
  <si>
    <t xml:space="preserve">Trial migration 1 found 4.7% duplicate student records (≈ 1,130 of 24,000).</t>
  </si>
  <si>
    <t xml:space="preserve">4.2</t>
  </si>
  <si>
    <t xml:space="preserve">Critical task 4.2 behind plan; forecast go-live slips about 10 working days without action.</t>
  </si>
  <si>
    <t xml:space="preserve">CR-02 cleansing mini-sprint + contractor; Registrar decides merge rules within 2 days.</t>
  </si>
  <si>
    <t xml:space="preserve">Open — in progress</t>
  </si>
  <si>
    <t xml:space="preserve">ISS-02</t>
  </si>
  <si>
    <t xml:space="preserve">LMS vendor SSO token-refresh defect breaks session after 60 minutes.</t>
  </si>
  <si>
    <t xml:space="preserve">3.5</t>
  </si>
  <si>
    <t xml:space="preserve">3.5 at 60% vs 100% planned; uses part of its 20 days float.</t>
  </si>
  <si>
    <t xml:space="preserve">Vendor patch escalated via CIO (C07); workaround: shorter token lifetime.</t>
  </si>
  <si>
    <t xml:space="preserve">ISS-03</t>
  </si>
  <si>
    <t xml:space="preserve">Faculty of Business requested push notifications mid-sprint.</t>
  </si>
  <si>
    <t xml:space="preserve">3.2</t>
  </si>
  <si>
    <t xml:space="preserve">Potential scope creep</t>
  </si>
  <si>
    <t xml:space="preserve">Raised CR-01; CCB deferred to Phase 2.</t>
  </si>
  <si>
    <t xml:space="preserve">Closed</t>
  </si>
  <si>
    <t xml:space="preserve">ISS-04</t>
  </si>
  <si>
    <t xml:space="preserve">Sprint 1 accessibility scan: 2 critical colour-contrast failures.</t>
  </si>
  <si>
    <t xml:space="preserve">3.1</t>
  </si>
  <si>
    <t xml:space="preserve">WCAG metric Q04 amber</t>
  </si>
  <si>
    <t xml:space="preserve">Fix in Sprint 2 via design-system tokens; re-scan.</t>
  </si>
  <si>
    <t xml:space="preserve">In progress</t>
  </si>
  <si>
    <t xml:space="preserve">ISS-05</t>
  </si>
  <si>
    <t xml:space="preserve">Privacy Officer requires MFA for all students after PIA review.</t>
  </si>
  <si>
    <t xml:space="preserve">Scope change</t>
  </si>
  <si>
    <t xml:space="preserve">Raised CR-03; approved by CCB.</t>
  </si>
  <si>
    <t xml:space="preserve">Traceability matrix — one WBS ID across every tool</t>
  </si>
  <si>
    <t xml:space="preserve">Work package</t>
  </si>
  <si>
    <t xml:space="preserve">ProjectLibre ID</t>
  </si>
  <si>
    <t xml:space="preserve">Trello card</t>
  </si>
  <si>
    <t xml:space="preserve">Trello link</t>
  </si>
  <si>
    <t xml:space="preserve">Baseline cost</t>
  </si>
  <si>
    <t xml:space="preserve">Linked risks</t>
  </si>
  <si>
    <t xml:space="preserve">RACI accountable</t>
  </si>
  <si>
    <t xml:space="preserve">Quality metric</t>
  </si>
  <si>
    <t xml:space="preserve">Critical path</t>
  </si>
  <si>
    <t xml:space="preserve">Initiation &amp; charter</t>
  </si>
  <si>
    <t xml:space="preserve">[1.1] Initiation &amp; charter</t>
  </si>
  <si>
    <t xml:space="preserve">—</t>
  </si>
  <si>
    <t xml:space="preserve">1.2</t>
  </si>
  <si>
    <t xml:space="preserve">Planning &amp; baselines</t>
  </si>
  <si>
    <t xml:space="preserve">[1.2] Planning &amp; baselines</t>
  </si>
  <si>
    <t xml:space="preserve">1.3</t>
  </si>
  <si>
    <t xml:space="preserve">Monitoring, control &amp; CCB</t>
  </si>
  <si>
    <t xml:space="preserve">[1.3] Monitoring, control &amp; CCB</t>
  </si>
  <si>
    <t xml:space="preserve">1.4</t>
  </si>
  <si>
    <t xml:space="preserve">Closure</t>
  </si>
  <si>
    <t xml:space="preserve">[1.4] Closure</t>
  </si>
  <si>
    <t xml:space="preserve">2.1</t>
  </si>
  <si>
    <t xml:space="preserve">Current-state portal audit</t>
  </si>
  <si>
    <t xml:space="preserve">[2.1] Current-state portal audit</t>
  </si>
  <si>
    <t xml:space="preserve">2.2</t>
  </si>
  <si>
    <t xml:space="preserve">Requirements workshops</t>
  </si>
  <si>
    <t xml:space="preserve">[2.2] Requirements workshops</t>
  </si>
  <si>
    <t xml:space="preserve">[2.3] Solution &amp; SSO architecture</t>
  </si>
  <si>
    <t xml:space="preserve">R02, R12</t>
  </si>
  <si>
    <t xml:space="preserve">[2.4] Privacy Impact Assessment</t>
  </si>
  <si>
    <t xml:space="preserve">2.5</t>
  </si>
  <si>
    <t xml:space="preserve">UX &amp; accessibility prototype</t>
  </si>
  <si>
    <t xml:space="preserve">[2.5] UX &amp; accessibility prototype</t>
  </si>
  <si>
    <t xml:space="preserve">Sprint 1 SSO &amp; dashboard</t>
  </si>
  <si>
    <t xml:space="preserve">[3.1] Sprint 1 SSO &amp; dashboard</t>
  </si>
  <si>
    <t xml:space="preserve">R02, R05, R12</t>
  </si>
  <si>
    <t xml:space="preserve">Sprint 2 Enrolment &amp; timetable</t>
  </si>
  <si>
    <t xml:space="preserve">[3.2] Sprint 2 Enrolment &amp; timetable</t>
  </si>
  <si>
    <t xml:space="preserve">R05, R06</t>
  </si>
  <si>
    <t xml:space="preserve">3.3</t>
  </si>
  <si>
    <t xml:space="preserve">Sprint 3 Fees &amp; payments</t>
  </si>
  <si>
    <t xml:space="preserve">[3.3] Sprint 3 Fees &amp; payments</t>
  </si>
  <si>
    <t xml:space="preserve">3.4</t>
  </si>
  <si>
    <t xml:space="preserve">Sprint 4 Services &amp; helpdesk</t>
  </si>
  <si>
    <t xml:space="preserve">[3.4] Sprint 4 Services &amp; helpdesk</t>
  </si>
  <si>
    <t xml:space="preserve">Integration APIs (SIS, LMS, Finance)</t>
  </si>
  <si>
    <t xml:space="preserve">[3.5] Integration APIs (SIS, LMS, Finance)</t>
  </si>
  <si>
    <t xml:space="preserve">3.6</t>
  </si>
  <si>
    <t xml:space="preserve">Content &amp; notifications configuration</t>
  </si>
  <si>
    <t xml:space="preserve">[3.6] Content &amp; notifications configuration</t>
  </si>
  <si>
    <t xml:space="preserve">4.1</t>
  </si>
  <si>
    <t xml:space="preserve">Data mapping &amp; cleansing</t>
  </si>
  <si>
    <t xml:space="preserve">[4.1] Data mapping &amp; cleansing</t>
  </si>
  <si>
    <t xml:space="preserve">Migration scripts &amp; trial migration 1</t>
  </si>
  <si>
    <t xml:space="preserve">[4.2] Migration scripts &amp; trial migration 1</t>
  </si>
  <si>
    <t xml:space="preserve">R01, R03</t>
  </si>
  <si>
    <t xml:space="preserve">Trial migration 2 &amp; reconciliation</t>
  </si>
  <si>
    <t xml:space="preserve">[4.3] Trial migration 2 &amp; reconciliation</t>
  </si>
  <si>
    <t xml:space="preserve">4.4</t>
  </si>
  <si>
    <t xml:space="preserve">Final migration</t>
  </si>
  <si>
    <t xml:space="preserve">[4.4] Final migration</t>
  </si>
  <si>
    <t xml:space="preserve">R03, R04</t>
  </si>
  <si>
    <t xml:space="preserve">5.1</t>
  </si>
  <si>
    <t xml:space="preserve">System integration testing</t>
  </si>
  <si>
    <t xml:space="preserve">[5.1] System integration testing</t>
  </si>
  <si>
    <t xml:space="preserve">5.2</t>
  </si>
  <si>
    <t xml:space="preserve">Security/penetration testing</t>
  </si>
  <si>
    <t xml:space="preserve">[5.2] Security/penetration testing</t>
  </si>
  <si>
    <t xml:space="preserve">WCAG 2.1 AA audit</t>
  </si>
  <si>
    <t xml:space="preserve">[5.3] WCAG 2.1 AA audit</t>
  </si>
  <si>
    <t xml:space="preserve">Load testing (enrolment peak)</t>
  </si>
  <si>
    <t xml:space="preserve">[5.4] Load testing (enrolment peak)</t>
  </si>
  <si>
    <t xml:space="preserve">User acceptance testing</t>
  </si>
  <si>
    <t xml:space="preserve">[5.5] User acceptance testing</t>
  </si>
  <si>
    <t xml:space="preserve">Regression &amp; defect remediation</t>
  </si>
  <si>
    <t xml:space="preserve">[5.6] Regression &amp; defect remediation</t>
  </si>
  <si>
    <t xml:space="preserve">6.1</t>
  </si>
  <si>
    <t xml:space="preserve">Training &amp; change comms</t>
  </si>
  <si>
    <t xml:space="preserve">[6.1] Training &amp; change comms</t>
  </si>
  <si>
    <t xml:space="preserve">R09, R11</t>
  </si>
  <si>
    <t xml:space="preserve">Faculty pilot</t>
  </si>
  <si>
    <t xml:space="preserve">[6.2] Faculty pilot</t>
  </si>
  <si>
    <t xml:space="preserve">R09, R13</t>
  </si>
  <si>
    <t xml:space="preserve">Go-live cutover</t>
  </si>
  <si>
    <t xml:space="preserve">[6.3] Go-live cutover</t>
  </si>
  <si>
    <t xml:space="preserve">R04, R07, R10</t>
  </si>
  <si>
    <t xml:space="preserve">Hypercare</t>
  </si>
  <si>
    <t xml:space="preserve">[6.4] Hypercare</t>
  </si>
  <si>
    <t xml:space="preserve">Q02, Q07</t>
  </si>
  <si>
    <t xml:space="preserve">6.5</t>
  </si>
  <si>
    <t xml:space="preserve">Legacy portal decommissioning</t>
  </si>
  <si>
    <t xml:space="preserve">[6.5] Legacy portal decommissioning</t>
  </si>
  <si>
    <t xml:space="preserve">Work packages traced</t>
  </si>
  <si>
    <t xml:space="preserve">Closure checklist, benefits realisation and lessons learned</t>
  </si>
  <si>
    <t xml:space="preserve">#</t>
  </si>
  <si>
    <t xml:space="preserve">Closure item</t>
  </si>
  <si>
    <t xml:space="preserve">All deliverables accepted against acceptance criteria</t>
  </si>
  <si>
    <t xml:space="preserve">Registrar sign-off on final migration reconciliation</t>
  </si>
  <si>
    <t xml:space="preserve">UAT, security and WCAG reports archived</t>
  </si>
  <si>
    <t xml:space="preserve">Legacy portals decommissioned and data archived per retention schedule</t>
  </si>
  <si>
    <t xml:space="preserve">Privacy Officer confirms non-production data destroyed</t>
  </si>
  <si>
    <t xml:space="preserve">Vendor contracts closed; contractor access revoked</t>
  </si>
  <si>
    <t xml:space="preserve">Final cost reconciliation vs budget; unused reserves returned</t>
  </si>
  <si>
    <t xml:space="preserve">Handover to BAU support (runbooks, knowledge base, SLAs)</t>
  </si>
  <si>
    <t xml:space="preserve">Benefits realisation plan handed to sponsor</t>
  </si>
  <si>
    <t xml:space="preserve">Lessons learned workshop held and register published</t>
  </si>
  <si>
    <t xml:space="preserve">In progress (captured each sprint)</t>
  </si>
  <si>
    <t xml:space="preserve">Trello board archived; ProjectLibre final actuals saved</t>
  </si>
  <si>
    <t xml:space="preserve">Team released and recognised</t>
  </si>
  <si>
    <t xml:space="preserve">Closure report approved by steering committee (M7)</t>
  </si>
  <si>
    <t xml:space="preserve">Items complete</t>
  </si>
  <si>
    <t xml:space="preserve">Benefits realisation plan</t>
  </si>
  <si>
    <t xml:space="preserve">Benefit / KPI</t>
  </si>
  <si>
    <t xml:space="preserve">Baseline → Target</t>
  </si>
  <si>
    <t xml:space="preserve">Measure date / Owner</t>
  </si>
  <si>
    <t xml:space="preserve">Fewer helpdesk tickets — KPI: Portal-related tickets per month</t>
  </si>
  <si>
    <t xml:space="preserve">4,200 → ≤ 2,940 (−30%)</t>
  </si>
  <si>
    <t xml:space="preserve">30/04/2027 · IT Service Desk Manager</t>
  </si>
  <si>
    <t xml:space="preserve">Single login — KPI: % of students using SSO + MFA</t>
  </si>
  <si>
    <t xml:space="preserve">0% → ≥ 95%</t>
  </si>
  <si>
    <t xml:space="preserve">31/03/2027 · CIO</t>
  </si>
  <si>
    <t xml:space="preserve">Legacy cost savings — KPI: Annual licence + support cost of legacy portals</t>
  </si>
  <si>
    <t xml:space="preserve">$140k/yr → $0 after decommissioning</t>
  </si>
  <si>
    <t xml:space="preserve">30/06/2027 · Finance Office</t>
  </si>
  <si>
    <t xml:space="preserve">Data quality — KPI: Duplicate student records</t>
  </si>
  <si>
    <t xml:space="preserve">4.7% (trial 1) → &lt; 0.5%</t>
  </si>
  <si>
    <t xml:space="preserve">31/03/2027 · Academic Registrar</t>
  </si>
  <si>
    <t xml:space="preserve">Student experience — KPI: Portal satisfaction (survey, 1–5)</t>
  </si>
  <si>
    <t xml:space="preserve">2.9 → ≥ 4.0</t>
  </si>
  <si>
    <t xml:space="preserve">31/05/2027 · DVC (Education)</t>
  </si>
  <si>
    <t xml:space="preserve">Lessons learned (what happened / impact / recommendation)</t>
  </si>
  <si>
    <t xml:space="preserve">What happened</t>
  </si>
  <si>
    <t xml:space="preserve">Recommendation</t>
  </si>
  <si>
    <t xml:space="preserve">L1</t>
  </si>
  <si>
    <t xml:space="preserve">Data profiling in 2.1 sampled only 5% of records.</t>
  </si>
  <si>
    <t xml:space="preserve">Duplicates found late (ISS-01), on the critical path.</t>
  </si>
  <si>
    <t xml:space="preserve">Profile 100% of keys before mapping; make data quality a gate at M2.</t>
  </si>
  <si>
    <t xml:space="preserve">L2</t>
  </si>
  <si>
    <t xml:space="preserve">LMS SSO proof of concept ran inside Sprint 1.</t>
  </si>
  <si>
    <t xml:space="preserve">Token defect (ISS-02) surfaced early enough to use float.</t>
  </si>
  <si>
    <t xml:space="preserve">Keep technical spikes before dependent sprints.</t>
  </si>
  <si>
    <t xml:space="preserve">L3</t>
  </si>
  <si>
    <t xml:space="preserve">Faculty feature requests arrived informally.</t>
  </si>
  <si>
    <t xml:space="preserve">Risk of scope creep (CR-01).</t>
  </si>
  <si>
    <t xml:space="preserve">Publish the CCB process in the charter and at every faculty briefing.</t>
  </si>
  <si>
    <t xml:space="preserve">L4</t>
  </si>
  <si>
    <t xml:space="preserve">Accessibility scans ran from Sprint 1.</t>
  </si>
  <si>
    <t xml:space="preserve">Contrast failures fixed cheaply (ISS-04).</t>
  </si>
  <si>
    <t xml:space="preserve">Automate WCAG scans in the build pipeline.</t>
  </si>
  <si>
    <t xml:space="preserve">L5</t>
  </si>
  <si>
    <t xml:space="preserve">EVM reported weekly from week 4.</t>
  </si>
  <si>
    <t xml:space="preserve">SPI drop visible within a week of ISS-01.</t>
  </si>
  <si>
    <t xml:space="preserve">Keep weekly EVM with RAG thresholds agreed by the sponsor.</t>
  </si>
  <si>
    <t xml:space="preserve">L6</t>
  </si>
  <si>
    <t xml:space="preserve">Contingency reserve was sized from risk EMVs.</t>
  </si>
  <si>
    <t xml:space="preserve">CR-02 was funded without new approval.</t>
  </si>
  <si>
    <t xml:space="preserve">Link each reserve dollar to a named risk.</t>
  </si>
  <si>
    <t xml:space="preserve">L7</t>
  </si>
  <si>
    <t xml:space="preserve">Privacy Officer joined the CCB.</t>
  </si>
  <si>
    <t xml:space="preserve">MFA decision (CR-03) made in one week.</t>
  </si>
  <si>
    <t xml:space="preserve">Include compliance roles on the CCB from initiation.</t>
  </si>
  <si>
    <t xml:space="preserve">Schedule &amp; WBS work packages (mirrors A2_GroupXX_ProjectLibre.pod)</t>
  </si>
  <si>
    <t xml:space="preserve">Branch</t>
  </si>
  <si>
    <t xml:space="preserve">Task</t>
  </si>
  <si>
    <t xml:space="preserve">Duration (d)</t>
  </si>
  <si>
    <t xml:space="preserve">PL ID</t>
  </si>
  <si>
    <t xml:space="preserve">Baseline start</t>
  </si>
  <si>
    <t xml:space="preserve">Baseline finish</t>
  </si>
  <si>
    <t xml:space="preserve">Forecast finish</t>
  </si>
  <si>
    <t xml:space="preserve">Total float (d)</t>
  </si>
  <si>
    <t xml:space="preserve">Forecast float (d)</t>
  </si>
  <si>
    <t xml:space="preserve">Critical</t>
  </si>
  <si>
    <t xml:space="preserve">Fixed cost</t>
  </si>
  <si>
    <t xml:space="preserve">Baseline cost (BAC)</t>
  </si>
  <si>
    <t xml:space="preserve">Planned % at status</t>
  </si>
  <si>
    <t xml:space="preserve">PV</t>
  </si>
  <si>
    <t xml:space="preserve">EV</t>
  </si>
  <si>
    <t xml:space="preserve">AC (actual)</t>
  </si>
  <si>
    <t xml:space="preserve">Owner (RACI A)</t>
  </si>
  <si>
    <t xml:space="preserve">Totals (BAC / PV / EV / AC)</t>
  </si>
  <si>
    <t xml:space="preserve">Amber rows = behind plan at the status date (% complete &lt; planned %). PV/EV/AC equal ProjectLibre BCWS/BCWP/ACWP per task.</t>
  </si>
  <si>
    <t xml:space="preserve">Resource assignments (from the ProjectLibre plan)</t>
  </si>
  <si>
    <t xml:space="preserve">Units</t>
  </si>
  <si>
    <t xml:space="preserve">Baseline duration (d)</t>
  </si>
  <si>
    <t xml:space="preserve">Hours</t>
  </si>
  <si>
    <t xml:space="preserve">Rate</t>
  </si>
  <si>
    <t xml:space="preserve">Security Consultant</t>
  </si>
  <si>
    <t xml:space="preserve">Developer</t>
  </si>
  <si>
    <t xml:space="preserve">Tester</t>
  </si>
  <si>
    <t xml:space="preserve">Resources and rates (AUD)</t>
  </si>
  <si>
    <t xml:space="preserve">Count (FTE)</t>
  </si>
  <si>
    <t xml:space="preserve">Rate per hour</t>
  </si>
  <si>
    <t xml:space="preserve">Baseline hours</t>
  </si>
  <si>
    <t xml:space="preserve">Baseline labour cost</t>
  </si>
  <si>
    <t xml:space="preserve">Work</t>
  </si>
  <si>
    <t xml:space="preserve">Work (contract)</t>
  </si>
  <si>
    <t xml:space="preserve">Total</t>
  </si>
  <si>
    <t xml:space="preserve">Lookups &amp; scoring scales</t>
  </si>
  <si>
    <t xml:space="preserve">Likelihood</t>
  </si>
  <si>
    <t xml:space="preserve">Label</t>
  </si>
  <si>
    <t xml:space="preserve">Band</t>
  </si>
  <si>
    <t xml:space="preserve">RACI</t>
  </si>
  <si>
    <t xml:space="preserve">Holidays (NSW + SCU shutdown)</t>
  </si>
  <si>
    <t xml:space="preserve">Rare</t>
  </si>
  <si>
    <t xml:space="preserve">&lt; 10%</t>
  </si>
  <si>
    <t xml:space="preserve">Labour Day (NSW)</t>
  </si>
  <si>
    <t xml:space="preserve">Unlikely</t>
  </si>
  <si>
    <t xml:space="preserve">10–30%</t>
  </si>
  <si>
    <t xml:space="preserve">University shutdown</t>
  </si>
  <si>
    <t xml:space="preserve">Possible</t>
  </si>
  <si>
    <t xml:space="preserve">30–50%</t>
  </si>
  <si>
    <t xml:space="preserve">Rejected</t>
  </si>
  <si>
    <t xml:space="preserve">Christmas Day</t>
  </si>
  <si>
    <t xml:space="preserve">Likely</t>
  </si>
  <si>
    <t xml:space="preserve">50–80%</t>
  </si>
  <si>
    <t xml:space="preserve">Pending</t>
  </si>
  <si>
    <t xml:space="preserve">Boxing Day (observed)</t>
  </si>
  <si>
    <t xml:space="preserve">Almost certain</t>
  </si>
  <si>
    <t xml:space="preserve">&gt; 80%</t>
  </si>
  <si>
    <t xml:space="preserve">Done</t>
  </si>
  <si>
    <t xml:space="preserve">Enhance</t>
  </si>
  <si>
    <t xml:space="preserve">Cost</t>
  </si>
  <si>
    <t xml:space="preserve">Other</t>
  </si>
  <si>
    <t xml:space="preserve">Share</t>
  </si>
  <si>
    <t xml:space="preserve">Insignificant</t>
  </si>
  <si>
    <t xml:space="preserve">&lt; $5k</t>
  </si>
  <si>
    <t xml:space="preserve">&lt; 2 days</t>
  </si>
  <si>
    <t xml:space="preserve">No external visibility</t>
  </si>
  <si>
    <t xml:space="preserve">New Year's Day</t>
  </si>
  <si>
    <t xml:space="preserve">Minor</t>
  </si>
  <si>
    <t xml:space="preserve">$5k–15k</t>
  </si>
  <si>
    <t xml:space="preserve">2–5 days</t>
  </si>
  <si>
    <t xml:space="preserve">Internal complaints</t>
  </si>
  <si>
    <t xml:space="preserve">Australia Day</t>
  </si>
  <si>
    <t xml:space="preserve">Moderate</t>
  </si>
  <si>
    <t xml:space="preserve">$15k–40k</t>
  </si>
  <si>
    <t xml:space="preserve">1–2 weeks</t>
  </si>
  <si>
    <t xml:space="preserve">Student complaints; SRC attention</t>
  </si>
  <si>
    <t xml:space="preserve">Good Friday</t>
  </si>
  <si>
    <t xml:space="preserve">Major</t>
  </si>
  <si>
    <t xml:space="preserve">$40k–100k</t>
  </si>
  <si>
    <t xml:space="preserve">2–4 weeks; milestone missed</t>
  </si>
  <si>
    <t xml:space="preserve">Media/regulator enquiry</t>
  </si>
  <si>
    <t xml:space="preserve">Easter Monday</t>
  </si>
  <si>
    <t xml:space="preserve">Severe</t>
  </si>
  <si>
    <t xml:space="preserve">&gt; $100k</t>
  </si>
  <si>
    <t xml:space="preserve">&gt; 4 weeks; go-live deadline missed</t>
  </si>
  <si>
    <t xml:space="preserve">Notifiable data breach; TEQSA action</t>
  </si>
  <si>
    <t xml:space="preserve">Min score</t>
  </si>
  <si>
    <t xml:space="preserve">Max score</t>
  </si>
  <si>
    <t xml:space="preserve">Colour</t>
  </si>
  <si>
    <t xml:space="preserve">green</t>
  </si>
  <si>
    <t xml:space="preserve">yellow</t>
  </si>
  <si>
    <t xml:space="preserve">orange</t>
  </si>
  <si>
    <t xml:space="preserve">red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</si>
</sst>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%"/>
    <numFmt numFmtId="167" formatCode="\$#,##0"/>
    <numFmt numFmtId="168" formatCode="0"/>
    <numFmt numFmtId="169" formatCode="dd/mm/yyyy"/>
    <numFmt numFmtId="170" formatCode="0%"/>
    <numFmt numFmtId="171" formatCode="#,##0"/>
    <numFmt numFmtId="172" formatCode="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u val="single"/>
      <sz val="11"/>
      <color rgb="FF000000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20"/>
      <color rgb="FF000000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color rgb="FF0000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000000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9"/>
      <name val="Cambria"/>
      <family val="0"/>
      <charset val="1"/>
    </font>
    <font>
      <i val="true"/>
      <sz val="11"/>
      <name val="Cambria"/>
      <family val="0"/>
      <charset val="1"/>
    </font>
    <font>
      <u val="single"/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/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</font>
    </dxf>
    <dxf>
      <font>
        <b val="1"/>
      </font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5" type="wholeTable"/>
      <tableStyleElement dxfId="6" type="firstColumnStripe"/>
      <tableStyleElement dxfId="7" type="firstRowStripe"/>
      <tableStyleElement dxfId="8" type="lastColumn"/>
      <tableStyleElement dxfId="9" type="firstColumn"/>
      <tableStyleElement dxfId="10" type="headerRow"/>
      <tableStyleElement dxfId="11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Risks by rating: inherent vs residual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Dashboard!B26</c:f>
              <c:strCache>
                <c:ptCount val="1"/>
                <c:pt idx="0">
                  <c:v>Inherent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Dashboard!$A$27:$A$30</c:f>
              <c:strCache>
                <c:ptCount val="4"/>
                <c:pt idx="0">
                  <c:v>Extreme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Dashboard!$B$27:$B$30</c:f>
              <c:numCache>
                <c:formatCode>General</c:formatCode>
                <c:ptCount val="4"/>
                <c:pt idx="0">
                  <c:v>0</c:v>
                </c:pt>
                <c:pt idx="1">
                  <c:v>7</c:v>
                </c:pt>
                <c:pt idx="2">
                  <c:v>6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Dashboard!C26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FF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Dashboard!$A$27:$A$30</c:f>
              <c:strCache>
                <c:ptCount val="4"/>
                <c:pt idx="0">
                  <c:v>Extreme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Dashboard!$C$27:$C$30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</c:ser>
        <c:gapWidth val="150"/>
        <c:overlap val="0"/>
        <c:axId val="80705844"/>
        <c:axId val="9021859"/>
      </c:barChart>
      <c:catAx>
        <c:axId val="807058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21859"/>
        <c:crosses val="autoZero"/>
        <c:auto val="1"/>
        <c:lblAlgn val="ctr"/>
        <c:lblOffset val="100"/>
        <c:noMultiLvlLbl val="0"/>
      </c:catAx>
      <c:valAx>
        <c:axId val="90218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705844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S-curve: PV / EV / AC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EVM_Status!C4</c:f>
              <c:strCache>
                <c:ptCount val="1"/>
                <c:pt idx="0">
                  <c:v>PV (cum)</c:v>
                </c:pt>
              </c:strCache>
            </c:strRef>
          </c:tx>
          <c:spPr>
            <a:ln w="1908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EVM_Status!$A$5:$A$40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EVM_Status!$C$5:$C$40</c:f>
              <c:numCache>
                <c:formatCode>\$#,##0</c:formatCode>
                <c:ptCount val="36"/>
                <c:pt idx="0">
                  <c:v>6700</c:v>
                </c:pt>
                <c:pt idx="1">
                  <c:v>13400</c:v>
                </c:pt>
                <c:pt idx="2">
                  <c:v>28900</c:v>
                </c:pt>
                <c:pt idx="3">
                  <c:v>42500</c:v>
                </c:pt>
                <c:pt idx="4">
                  <c:v>53650</c:v>
                </c:pt>
                <c:pt idx="5">
                  <c:v>64800</c:v>
                </c:pt>
                <c:pt idx="6">
                  <c:v>83350</c:v>
                </c:pt>
                <c:pt idx="7">
                  <c:v>107000</c:v>
                </c:pt>
                <c:pt idx="8">
                  <c:v>149300</c:v>
                </c:pt>
                <c:pt idx="9">
                  <c:v>180600</c:v>
                </c:pt>
                <c:pt idx="10">
                  <c:v>211700</c:v>
                </c:pt>
                <c:pt idx="11">
                  <c:v>242800</c:v>
                </c:pt>
                <c:pt idx="12">
                  <c:v>269700</c:v>
                </c:pt>
                <c:pt idx="13">
                  <c:v>293660</c:v>
                </c:pt>
                <c:pt idx="14">
                  <c:v>321370</c:v>
                </c:pt>
                <c:pt idx="15">
                  <c:v>352920</c:v>
                </c:pt>
                <c:pt idx="16">
                  <c:v>395130</c:v>
                </c:pt>
                <c:pt idx="17">
                  <c:v>437130</c:v>
                </c:pt>
                <c:pt idx="18">
                  <c:v>465600</c:v>
                </c:pt>
                <c:pt idx="19">
                  <c:v>490850</c:v>
                </c:pt>
                <c:pt idx="20">
                  <c:v>505780</c:v>
                </c:pt>
                <c:pt idx="21">
                  <c:v>526210</c:v>
                </c:pt>
                <c:pt idx="22">
                  <c:v>546640</c:v>
                </c:pt>
                <c:pt idx="23">
                  <c:v>558110</c:v>
                </c:pt>
                <c:pt idx="24">
                  <c:v>564860</c:v>
                </c:pt>
                <c:pt idx="25">
                  <c:v>564860</c:v>
                </c:pt>
                <c:pt idx="26">
                  <c:v>576510</c:v>
                </c:pt>
                <c:pt idx="27">
                  <c:v>679040</c:v>
                </c:pt>
                <c:pt idx="28">
                  <c:v>827910</c:v>
                </c:pt>
                <c:pt idx="29">
                  <c:v>840110</c:v>
                </c:pt>
                <c:pt idx="30">
                  <c:v>855360</c:v>
                </c:pt>
                <c:pt idx="31">
                  <c:v>870610</c:v>
                </c:pt>
                <c:pt idx="32">
                  <c:v>884480</c:v>
                </c:pt>
                <c:pt idx="33">
                  <c:v>889480</c:v>
                </c:pt>
                <c:pt idx="34">
                  <c:v>894820</c:v>
                </c:pt>
                <c:pt idx="35">
                  <c:v>900180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EVM_Status!D4</c:f>
              <c:strCache>
                <c:ptCount val="1"/>
                <c:pt idx="0">
                  <c:v>EV (cum)</c:v>
                </c:pt>
              </c:strCache>
            </c:strRef>
          </c:tx>
          <c:spPr>
            <a:ln w="1908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EVM_Status!$A$5:$A$40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EVM_Status!$D$5:$D$40</c:f>
              <c:numCache>
                <c:formatCode>\$#,##0</c:formatCode>
                <c:ptCount val="36"/>
                <c:pt idx="0">
                  <c:v>6700</c:v>
                </c:pt>
                <c:pt idx="1">
                  <c:v>13400</c:v>
                </c:pt>
                <c:pt idx="2">
                  <c:v>28900</c:v>
                </c:pt>
                <c:pt idx="3">
                  <c:v>42500</c:v>
                </c:pt>
                <c:pt idx="4">
                  <c:v>53650</c:v>
                </c:pt>
                <c:pt idx="5">
                  <c:v>64800</c:v>
                </c:pt>
                <c:pt idx="6">
                  <c:v>83350</c:v>
                </c:pt>
                <c:pt idx="7">
                  <c:v>107000</c:v>
                </c:pt>
                <c:pt idx="8">
                  <c:v>147200</c:v>
                </c:pt>
                <c:pt idx="9">
                  <c:v>176400</c:v>
                </c:pt>
                <c:pt idx="10">
                  <c:v>199115</c:v>
                </c:pt>
                <c:pt idx="11">
                  <c:v>221830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EVM_Status!E4</c:f>
              <c:strCache>
                <c:ptCount val="1"/>
                <c:pt idx="0">
                  <c:v>AC (cum)</c:v>
                </c:pt>
              </c:strCache>
            </c:strRef>
          </c:tx>
          <c:spPr>
            <a:ln w="19080">
              <a:solidFill>
                <a:srgbClr val="00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EVM_Status!$A$5:$A$40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EVM_Status!$E$5:$E$40</c:f>
              <c:numCache>
                <c:formatCode>\$#,##0</c:formatCode>
                <c:ptCount val="36"/>
                <c:pt idx="0">
                  <c:v>6700</c:v>
                </c:pt>
                <c:pt idx="1">
                  <c:v>13400</c:v>
                </c:pt>
                <c:pt idx="2">
                  <c:v>28900</c:v>
                </c:pt>
                <c:pt idx="3">
                  <c:v>42500</c:v>
                </c:pt>
                <c:pt idx="4">
                  <c:v>53650</c:v>
                </c:pt>
                <c:pt idx="5">
                  <c:v>64800</c:v>
                </c:pt>
                <c:pt idx="6">
                  <c:v>85210</c:v>
                </c:pt>
                <c:pt idx="7">
                  <c:v>110720</c:v>
                </c:pt>
                <c:pt idx="8">
                  <c:v>152180</c:v>
                </c:pt>
                <c:pt idx="9">
                  <c:v>182640</c:v>
                </c:pt>
                <c:pt idx="10">
                  <c:v>207185</c:v>
                </c:pt>
                <c:pt idx="11">
                  <c:v>231730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437669"/>
        <c:axId val="91837827"/>
      </c:lineChart>
      <c:catAx>
        <c:axId val="924376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837827"/>
        <c:crosses val="autoZero"/>
        <c:auto val="1"/>
        <c:lblAlgn val="ctr"/>
        <c:lblOffset val="100"/>
        <c:noMultiLvlLbl val="0"/>
      </c:catAx>
      <c:valAx>
        <c:axId val="918378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AUD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437669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Time-phased budget (monthly PV) and cumulative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Cost_Baseline!J4</c:f>
              <c:strCache>
                <c:ptCount val="1"/>
                <c:pt idx="0">
                  <c:v>Planned value (month)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Cost_Baseline!$I$5:$I$13</c:f>
              <c:strCache>
                <c:ptCount val="9"/>
                <c:pt idx="0">
                  <c:v>Jul 2026</c:v>
                </c:pt>
                <c:pt idx="1">
                  <c:v>Aug 2026</c:v>
                </c:pt>
                <c:pt idx="2">
                  <c:v>Sep 2026</c:v>
                </c:pt>
                <c:pt idx="3">
                  <c:v>Oct 2026</c:v>
                </c:pt>
                <c:pt idx="4">
                  <c:v>Nov 2026</c:v>
                </c:pt>
                <c:pt idx="5">
                  <c:v>Dec 2026</c:v>
                </c:pt>
                <c:pt idx="6">
                  <c:v>Jan 2027</c:v>
                </c:pt>
                <c:pt idx="7">
                  <c:v>Feb 2027</c:v>
                </c:pt>
                <c:pt idx="8">
                  <c:v>Mar 2027</c:v>
                </c:pt>
              </c:strCache>
            </c:strRef>
          </c:cat>
          <c:val>
            <c:numRef>
              <c:f>Cost_Baseline!$J$5:$J$13</c:f>
              <c:numCache>
                <c:formatCode>\$#,##0</c:formatCode>
                <c:ptCount val="9"/>
                <c:pt idx="0">
                  <c:v>42500</c:v>
                </c:pt>
                <c:pt idx="1">
                  <c:v>72960</c:v>
                </c:pt>
                <c:pt idx="2">
                  <c:v>143480</c:v>
                </c:pt>
                <c:pt idx="3">
                  <c:v>136190</c:v>
                </c:pt>
                <c:pt idx="4">
                  <c:v>113120</c:v>
                </c:pt>
                <c:pt idx="5">
                  <c:v>56610</c:v>
                </c:pt>
                <c:pt idx="6">
                  <c:v>275250</c:v>
                </c:pt>
                <c:pt idx="7">
                  <c:v>49370</c:v>
                </c:pt>
                <c:pt idx="8">
                  <c:v>10700</c:v>
                </c:pt>
              </c:numCache>
            </c:numRef>
          </c:val>
        </c:ser>
        <c:gapWidth val="150"/>
        <c:overlap val="0"/>
        <c:axId val="9383807"/>
        <c:axId val="5881529"/>
      </c:barChart>
      <c:lineChart>
        <c:grouping val="standard"/>
        <c:varyColors val="0"/>
        <c:ser>
          <c:idx val="1"/>
          <c:order val="1"/>
          <c:tx>
            <c:strRef>
              <c:f>Cost_Baseline!K4</c:f>
              <c:strCache>
                <c:ptCount val="1"/>
                <c:pt idx="0">
                  <c:v>Cumulative PV</c:v>
                </c:pt>
              </c:strCache>
            </c:strRef>
          </c:tx>
          <c:spPr>
            <a:ln w="1908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Cost_Baseline!$I$5:$I$13</c:f>
              <c:strCache>
                <c:ptCount val="9"/>
                <c:pt idx="0">
                  <c:v>Jul 2026</c:v>
                </c:pt>
                <c:pt idx="1">
                  <c:v>Aug 2026</c:v>
                </c:pt>
                <c:pt idx="2">
                  <c:v>Sep 2026</c:v>
                </c:pt>
                <c:pt idx="3">
                  <c:v>Oct 2026</c:v>
                </c:pt>
                <c:pt idx="4">
                  <c:v>Nov 2026</c:v>
                </c:pt>
                <c:pt idx="5">
                  <c:v>Dec 2026</c:v>
                </c:pt>
                <c:pt idx="6">
                  <c:v>Jan 2027</c:v>
                </c:pt>
                <c:pt idx="7">
                  <c:v>Feb 2027</c:v>
                </c:pt>
                <c:pt idx="8">
                  <c:v>Mar 2027</c:v>
                </c:pt>
              </c:strCache>
            </c:strRef>
          </c:cat>
          <c:val>
            <c:numRef>
              <c:f>Cost_Baseline!$K$5:$K$13</c:f>
              <c:numCache>
                <c:formatCode>\$#,##0</c:formatCode>
                <c:ptCount val="9"/>
                <c:pt idx="0">
                  <c:v>42500</c:v>
                </c:pt>
                <c:pt idx="1">
                  <c:v>115460</c:v>
                </c:pt>
                <c:pt idx="2">
                  <c:v>258940</c:v>
                </c:pt>
                <c:pt idx="3">
                  <c:v>395130</c:v>
                </c:pt>
                <c:pt idx="4">
                  <c:v>508250</c:v>
                </c:pt>
                <c:pt idx="5">
                  <c:v>564860</c:v>
                </c:pt>
                <c:pt idx="6">
                  <c:v>840110</c:v>
                </c:pt>
                <c:pt idx="7">
                  <c:v>889480</c:v>
                </c:pt>
                <c:pt idx="8">
                  <c:v>900180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741871"/>
        <c:axId val="69848059"/>
      </c:lineChart>
      <c:catAx>
        <c:axId val="938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81529"/>
        <c:crosses val="autoZero"/>
        <c:auto val="1"/>
        <c:lblAlgn val="ctr"/>
        <c:lblOffset val="100"/>
        <c:noMultiLvlLbl val="0"/>
      </c:catAx>
      <c:valAx>
        <c:axId val="58815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AUD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83807"/>
        <c:crosses val="autoZero"/>
        <c:crossBetween val="between"/>
      </c:valAx>
      <c:catAx>
        <c:axId val="7374187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848059"/>
        <c:crosses val="autoZero"/>
        <c:auto val="1"/>
        <c:lblAlgn val="ctr"/>
        <c:lblOffset val="100"/>
        <c:noMultiLvlLbl val="0"/>
      </c:catAx>
      <c:valAx>
        <c:axId val="69848059"/>
        <c:scaling>
          <c:orientation val="minMax"/>
        </c:scaling>
        <c:delete val="0"/>
        <c:axPos val="r"/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741871"/>
        <c:crosses val="max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S-curve: PV vs EV vs AC (cumulative)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EVM_Status!C4</c:f>
              <c:strCache>
                <c:ptCount val="1"/>
                <c:pt idx="0">
                  <c:v>PV (cum)</c:v>
                </c:pt>
              </c:strCache>
            </c:strRef>
          </c:tx>
          <c:spPr>
            <a:ln w="1908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EVM_Status!$A$5:$A$40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EVM_Status!$C$5:$C$40</c:f>
              <c:numCache>
                <c:formatCode>\$#,##0</c:formatCode>
                <c:ptCount val="36"/>
                <c:pt idx="0">
                  <c:v>6700</c:v>
                </c:pt>
                <c:pt idx="1">
                  <c:v>13400</c:v>
                </c:pt>
                <c:pt idx="2">
                  <c:v>28900</c:v>
                </c:pt>
                <c:pt idx="3">
                  <c:v>42500</c:v>
                </c:pt>
                <c:pt idx="4">
                  <c:v>53650</c:v>
                </c:pt>
                <c:pt idx="5">
                  <c:v>64800</c:v>
                </c:pt>
                <c:pt idx="6">
                  <c:v>83350</c:v>
                </c:pt>
                <c:pt idx="7">
                  <c:v>107000</c:v>
                </c:pt>
                <c:pt idx="8">
                  <c:v>149300</c:v>
                </c:pt>
                <c:pt idx="9">
                  <c:v>180600</c:v>
                </c:pt>
                <c:pt idx="10">
                  <c:v>211700</c:v>
                </c:pt>
                <c:pt idx="11">
                  <c:v>242800</c:v>
                </c:pt>
                <c:pt idx="12">
                  <c:v>269700</c:v>
                </c:pt>
                <c:pt idx="13">
                  <c:v>293660</c:v>
                </c:pt>
                <c:pt idx="14">
                  <c:v>321370</c:v>
                </c:pt>
                <c:pt idx="15">
                  <c:v>352920</c:v>
                </c:pt>
                <c:pt idx="16">
                  <c:v>395130</c:v>
                </c:pt>
                <c:pt idx="17">
                  <c:v>437130</c:v>
                </c:pt>
                <c:pt idx="18">
                  <c:v>465600</c:v>
                </c:pt>
                <c:pt idx="19">
                  <c:v>490850</c:v>
                </c:pt>
                <c:pt idx="20">
                  <c:v>505780</c:v>
                </c:pt>
                <c:pt idx="21">
                  <c:v>526210</c:v>
                </c:pt>
                <c:pt idx="22">
                  <c:v>546640</c:v>
                </c:pt>
                <c:pt idx="23">
                  <c:v>558110</c:v>
                </c:pt>
                <c:pt idx="24">
                  <c:v>564860</c:v>
                </c:pt>
                <c:pt idx="25">
                  <c:v>564860</c:v>
                </c:pt>
                <c:pt idx="26">
                  <c:v>576510</c:v>
                </c:pt>
                <c:pt idx="27">
                  <c:v>679040</c:v>
                </c:pt>
                <c:pt idx="28">
                  <c:v>827910</c:v>
                </c:pt>
                <c:pt idx="29">
                  <c:v>840110</c:v>
                </c:pt>
                <c:pt idx="30">
                  <c:v>855360</c:v>
                </c:pt>
                <c:pt idx="31">
                  <c:v>870610</c:v>
                </c:pt>
                <c:pt idx="32">
                  <c:v>884480</c:v>
                </c:pt>
                <c:pt idx="33">
                  <c:v>889480</c:v>
                </c:pt>
                <c:pt idx="34">
                  <c:v>894820</c:v>
                </c:pt>
                <c:pt idx="35">
                  <c:v>900180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EVM_Status!D4</c:f>
              <c:strCache>
                <c:ptCount val="1"/>
                <c:pt idx="0">
                  <c:v>EV (cum)</c:v>
                </c:pt>
              </c:strCache>
            </c:strRef>
          </c:tx>
          <c:spPr>
            <a:ln w="1908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EVM_Status!$A$5:$A$40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EVM_Status!$D$5:$D$40</c:f>
              <c:numCache>
                <c:formatCode>\$#,##0</c:formatCode>
                <c:ptCount val="36"/>
                <c:pt idx="0">
                  <c:v>6700</c:v>
                </c:pt>
                <c:pt idx="1">
                  <c:v>13400</c:v>
                </c:pt>
                <c:pt idx="2">
                  <c:v>28900</c:v>
                </c:pt>
                <c:pt idx="3">
                  <c:v>42500</c:v>
                </c:pt>
                <c:pt idx="4">
                  <c:v>53650</c:v>
                </c:pt>
                <c:pt idx="5">
                  <c:v>64800</c:v>
                </c:pt>
                <c:pt idx="6">
                  <c:v>83350</c:v>
                </c:pt>
                <c:pt idx="7">
                  <c:v>107000</c:v>
                </c:pt>
                <c:pt idx="8">
                  <c:v>147200</c:v>
                </c:pt>
                <c:pt idx="9">
                  <c:v>176400</c:v>
                </c:pt>
                <c:pt idx="10">
                  <c:v>199115</c:v>
                </c:pt>
                <c:pt idx="11">
                  <c:v>221830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EVM_Status!E4</c:f>
              <c:strCache>
                <c:ptCount val="1"/>
                <c:pt idx="0">
                  <c:v>AC (cum)</c:v>
                </c:pt>
              </c:strCache>
            </c:strRef>
          </c:tx>
          <c:spPr>
            <a:ln w="19080">
              <a:solidFill>
                <a:srgbClr val="00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EVM_Status!$A$5:$A$40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EVM_Status!$E$5:$E$40</c:f>
              <c:numCache>
                <c:formatCode>\$#,##0</c:formatCode>
                <c:ptCount val="36"/>
                <c:pt idx="0">
                  <c:v>6700</c:v>
                </c:pt>
                <c:pt idx="1">
                  <c:v>13400</c:v>
                </c:pt>
                <c:pt idx="2">
                  <c:v>28900</c:v>
                </c:pt>
                <c:pt idx="3">
                  <c:v>42500</c:v>
                </c:pt>
                <c:pt idx="4">
                  <c:v>53650</c:v>
                </c:pt>
                <c:pt idx="5">
                  <c:v>64800</c:v>
                </c:pt>
                <c:pt idx="6">
                  <c:v>85210</c:v>
                </c:pt>
                <c:pt idx="7">
                  <c:v>110720</c:v>
                </c:pt>
                <c:pt idx="8">
                  <c:v>152180</c:v>
                </c:pt>
                <c:pt idx="9">
                  <c:v>182640</c:v>
                </c:pt>
                <c:pt idx="10">
                  <c:v>207185</c:v>
                </c:pt>
                <c:pt idx="11">
                  <c:v>231730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744638"/>
        <c:axId val="7369365"/>
      </c:lineChart>
      <c:catAx>
        <c:axId val="107446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69365"/>
        <c:crosses val="autoZero"/>
        <c:auto val="1"/>
        <c:lblAlgn val="ctr"/>
        <c:lblOffset val="100"/>
        <c:noMultiLvlLbl val="0"/>
      </c:catAx>
      <c:valAx>
        <c:axId val="7369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AUD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744638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Defects per week with control limits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Control_Chart!C4</c:f>
              <c:strCache>
                <c:ptCount val="1"/>
                <c:pt idx="0">
                  <c:v>Defects</c:v>
                </c:pt>
              </c:strCache>
            </c:strRef>
          </c:tx>
          <c:spPr>
            <a:ln w="1908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Control_Chart!$A$5:$A$14</c:f>
              <c:strCach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strCache>
            </c:strRef>
          </c:cat>
          <c:val>
            <c:numRef>
              <c:f>Control_Chart!$C$5:$C$14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Control_Chart!D4</c:f>
              <c:strCache>
                <c:ptCount val="1"/>
                <c:pt idx="0">
                  <c:v>Mean</c:v>
                </c:pt>
              </c:strCache>
            </c:strRef>
          </c:tx>
          <c:spPr>
            <a:ln w="1908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Control_Chart!$A$5:$A$14</c:f>
              <c:strCach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strCache>
            </c:strRef>
          </c:cat>
          <c:val>
            <c:numRef>
              <c:f>Control_Chart!$D$5:$D$14</c:f>
              <c:numCache>
                <c:formatCode>0.00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Control_Chart!E4</c:f>
              <c:strCache>
                <c:ptCount val="1"/>
                <c:pt idx="0">
                  <c:v>UCL</c:v>
                </c:pt>
              </c:strCache>
            </c:strRef>
          </c:tx>
          <c:spPr>
            <a:ln w="19080">
              <a:solidFill>
                <a:srgbClr val="00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Control_Chart!$A$5:$A$14</c:f>
              <c:strCach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strCache>
            </c:strRef>
          </c:cat>
          <c:val>
            <c:numRef>
              <c:f>Control_Chart!$E$5:$E$14</c:f>
              <c:numCache>
                <c:formatCode>0.00</c:formatCode>
                <c:ptCount val="10"/>
                <c:pt idx="0">
                  <c:v>9.67423461417477</c:v>
                </c:pt>
                <c:pt idx="1">
                  <c:v>9.67423461417477</c:v>
                </c:pt>
                <c:pt idx="2">
                  <c:v>9.67423461417477</c:v>
                </c:pt>
                <c:pt idx="3">
                  <c:v>9.67423461417477</c:v>
                </c:pt>
                <c:pt idx="4">
                  <c:v>9.67423461417477</c:v>
                </c:pt>
                <c:pt idx="5">
                  <c:v>9.67423461417477</c:v>
                </c:pt>
                <c:pt idx="6">
                  <c:v>9.67423461417477</c:v>
                </c:pt>
                <c:pt idx="7">
                  <c:v>9.67423461417477</c:v>
                </c:pt>
                <c:pt idx="8">
                  <c:v>9.67423461417477</c:v>
                </c:pt>
                <c:pt idx="9">
                  <c:v>9.67423461417477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Control_Chart!F4</c:f>
              <c:strCache>
                <c:ptCount val="1"/>
                <c:pt idx="0">
                  <c:v>LCL</c:v>
                </c:pt>
              </c:strCache>
            </c:strRef>
          </c:tx>
          <c:spPr>
            <a:ln w="19080">
              <a:solidFill>
                <a:srgbClr val="000000"/>
              </a:solidFill>
              <a:prstDash val="lgDash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Control_Chart!$A$5:$A$14</c:f>
              <c:strCach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strCache>
            </c:strRef>
          </c:cat>
          <c:val>
            <c:numRef>
              <c:f>Control_Chart!$F$5:$F$14</c:f>
              <c:numCache>
                <c:formatCode>0.00</c:formatCode>
                <c:ptCount val="10"/>
                <c:pt idx="0">
                  <c:v>2.32576538582523</c:v>
                </c:pt>
                <c:pt idx="1">
                  <c:v>2.32576538582523</c:v>
                </c:pt>
                <c:pt idx="2">
                  <c:v>2.32576538582523</c:v>
                </c:pt>
                <c:pt idx="3">
                  <c:v>2.32576538582523</c:v>
                </c:pt>
                <c:pt idx="4">
                  <c:v>2.32576538582523</c:v>
                </c:pt>
                <c:pt idx="5">
                  <c:v>2.32576538582523</c:v>
                </c:pt>
                <c:pt idx="6">
                  <c:v>2.32576538582523</c:v>
                </c:pt>
                <c:pt idx="7">
                  <c:v>2.32576538582523</c:v>
                </c:pt>
                <c:pt idx="8">
                  <c:v>2.32576538582523</c:v>
                </c:pt>
                <c:pt idx="9">
                  <c:v>2.32576538582523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694089"/>
        <c:axId val="71815015"/>
      </c:lineChart>
      <c:catAx>
        <c:axId val="786940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815015"/>
        <c:crosses val="autoZero"/>
        <c:auto val="1"/>
        <c:lblAlgn val="ctr"/>
        <c:lblOffset val="100"/>
        <c:noMultiLvlLbl val="0"/>
      </c:catAx>
      <c:valAx>
        <c:axId val="718150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Defects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694089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24</xdr:row>
      <xdr:rowOff>0</xdr:rowOff>
    </xdr:from>
    <xdr:to>
      <xdr:col>9</xdr:col>
      <xdr:colOff>90360</xdr:colOff>
      <xdr:row>37</xdr:row>
      <xdr:rowOff>43200</xdr:rowOff>
    </xdr:to>
    <xdr:graphicFrame>
      <xdr:nvGraphicFramePr>
        <xdr:cNvPr id="1" name="Chart 1"/>
        <xdr:cNvGraphicFramePr/>
      </xdr:nvGraphicFramePr>
      <xdr:xfrm>
        <a:off x="3383280" y="46684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24</xdr:row>
      <xdr:rowOff>0</xdr:rowOff>
    </xdr:from>
    <xdr:to>
      <xdr:col>15</xdr:col>
      <xdr:colOff>450360</xdr:colOff>
      <xdr:row>37</xdr:row>
      <xdr:rowOff>43200</xdr:rowOff>
    </xdr:to>
    <xdr:graphicFrame>
      <xdr:nvGraphicFramePr>
        <xdr:cNvPr id="2" name="Chart 2"/>
        <xdr:cNvGraphicFramePr/>
      </xdr:nvGraphicFramePr>
      <xdr:xfrm>
        <a:off x="8458200" y="46684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5</xdr:col>
      <xdr:colOff>614520</xdr:colOff>
      <xdr:row>33</xdr:row>
      <xdr:rowOff>32400</xdr:rowOff>
    </xdr:to>
    <xdr:graphicFrame>
      <xdr:nvGraphicFramePr>
        <xdr:cNvPr id="3" name="Chart 1"/>
        <xdr:cNvGraphicFramePr/>
      </xdr:nvGraphicFramePr>
      <xdr:xfrm>
        <a:off x="493560" y="38739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26</xdr:row>
      <xdr:rowOff>0</xdr:rowOff>
    </xdr:from>
    <xdr:to>
      <xdr:col>13</xdr:col>
      <xdr:colOff>2109600</xdr:colOff>
      <xdr:row>42</xdr:row>
      <xdr:rowOff>11880</xdr:rowOff>
    </xdr:to>
    <xdr:graphicFrame>
      <xdr:nvGraphicFramePr>
        <xdr:cNvPr id="4" name="Chart 1"/>
        <xdr:cNvGraphicFramePr/>
      </xdr:nvGraphicFramePr>
      <xdr:xfrm>
        <a:off x="7518960" y="520776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8</xdr:col>
      <xdr:colOff>503640</xdr:colOff>
      <xdr:row>33</xdr:row>
      <xdr:rowOff>22320</xdr:rowOff>
    </xdr:to>
    <xdr:graphicFrame>
      <xdr:nvGraphicFramePr>
        <xdr:cNvPr id="5" name="Chart 1"/>
        <xdr:cNvGraphicFramePr/>
      </xdr:nvGraphicFramePr>
      <xdr:xfrm>
        <a:off x="0" y="4045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ssignments" displayName="tblAssignments" ref="A4:G84" headerRowCount="1" totalsRowCount="0" totalsRowShown="0">
  <autoFilter ref="A4:G84"/>
  <tableColumns count="7">
    <tableColumn id="1" name="WBS"/>
    <tableColumn id="2" name="Role"/>
    <tableColumn id="3" name="Units"/>
    <tableColumn id="4" name="Baseline duration (d)"/>
    <tableColumn id="5" name="Hours"/>
    <tableColumn id="6" name="Rate"/>
    <tableColumn id="7" name="Labour cost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blComms" displayName="tblComms" ref="A4:H15" headerRowCount="1" totalsRowCount="0" totalsRowShown="0">
  <autoFilter ref="A4:H15"/>
  <tableColumns count="8">
    <tableColumn id="1" name="ID"/>
    <tableColumn id="2" name="Audience"/>
    <tableColumn id="3" name="Information"/>
    <tableColumn id="4" name="Method"/>
    <tableColumn id="5" name="Frequency"/>
    <tableColumn id="6" name="Owner"/>
    <tableColumn id="7" name="Feedback"/>
    <tableColumn id="8" name="Stakeholders served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blQuality" displayName="tblQuality" ref="A4:I11" headerRowCount="1" totalsRowCount="0" totalsRowShown="0">
  <autoFilter ref="A4:I11"/>
  <tableColumns count="9">
    <tableColumn id="1" name="ID"/>
    <tableColumn id="2" name="Metric"/>
    <tableColumn id="3" name="Target"/>
    <tableColumn id="4" name="Measurement method"/>
    <tableColumn id="5" name="Frequency"/>
    <tableColumn id="6" name="Owner"/>
    <tableColumn id="7" name="Current value"/>
    <tableColumn id="8" name="RAG"/>
    <tableColumn id="9" name="WB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blRisks" displayName="tblRisks" ref="A4:W17" headerRowCount="1" totalsRowCount="0" totalsRowShown="0">
  <autoFilter ref="A4:W17"/>
  <tableColumns count="23">
    <tableColumn id="1" name="ID"/>
    <tableColumn id="2" name="Type"/>
    <tableColumn id="3" name="Category"/>
    <tableColumn id="4" name="Description (cause → event → effect)"/>
    <tableColumn id="5" name="WBS links"/>
    <tableColumn id="6" name="L"/>
    <tableColumn id="7" name="I"/>
    <tableColumn id="8" name="Score"/>
    <tableColumn id="9" name="Rating"/>
    <tableColumn id="10" name="Owner"/>
    <tableColumn id="11" name="Strategy"/>
    <tableColumn id="12" name="Response"/>
    <tableColumn id="13" name="Trigger"/>
    <tableColumn id="14" name="Res. L"/>
    <tableColumn id="15" name="Res. I"/>
    <tableColumn id="16" name="Res. score"/>
    <tableColumn id="17" name="Res. rating"/>
    <tableColumn id="18" name="Probability"/>
    <tableColumn id="19" name="Cost impact"/>
    <tableColumn id="20" name="EMV"/>
    <tableColumn id="21" name="Status"/>
    <tableColumn id="22" name="Heat key"/>
    <tableColumn id="23" name="Res. key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blSchedule" displayName="tblSchedule" ref="A4:T41" headerRowCount="1" totalsRowCount="0" totalsRowShown="0">
  <autoFilter ref="A4:T41"/>
  <tableColumns count="20">
    <tableColumn id="1" name="WBS"/>
    <tableColumn id="2" name="Branch"/>
    <tableColumn id="3" name="Task"/>
    <tableColumn id="4" name="Duration (d)"/>
    <tableColumn id="5" name="PL ID"/>
    <tableColumn id="6" name="Baseline start"/>
    <tableColumn id="7" name="Baseline finish"/>
    <tableColumn id="8" name="Forecast finish"/>
    <tableColumn id="9" name="Total float (d)"/>
    <tableColumn id="10" name="Forecast float (d)"/>
    <tableColumn id="11" name="Critical"/>
    <tableColumn id="12" name="Labour cost"/>
    <tableColumn id="13" name="Fixed cost"/>
    <tableColumn id="14" name="Baseline cost (BAC)"/>
    <tableColumn id="15" name="Planned % at status"/>
    <tableColumn id="16" name="% complete"/>
    <tableColumn id="17" name="PV"/>
    <tableColumn id="18" name="EV"/>
    <tableColumn id="19" name="AC (actual)"/>
    <tableColumn id="20" name="Owner (RACI A)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blStakeholders" displayName="tblStakeholders" ref="A4:K18" headerRowCount="1" totalsRowCount="0" totalsRowShown="0">
  <autoFilter ref="A4:K18"/>
  <tableColumns count="11">
    <tableColumn id="1" name="ID"/>
    <tableColumn id="2" name="Stakeholder"/>
    <tableColumn id="3" name="Role"/>
    <tableColumn id="4" name="Power (1–5)"/>
    <tableColumn id="5" name="Interest (1–5)"/>
    <tableColumn id="6" name="Quadrant (formula)"/>
    <tableColumn id="7" name="Reason for classification"/>
    <tableColumn id="8" name="Current attitude"/>
    <tableColumn id="9" name="Desired attitude"/>
    <tableColumn id="10" name="Engagement strategy"/>
    <tableColumn id="11" name="Comms ref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blTrace" displayName="tblTrace" ref="A4:J34" headerRowCount="1" totalsRowCount="0" totalsRowShown="0">
  <autoFilter ref="A4:J34"/>
  <tableColumns count="10">
    <tableColumn id="1" name="WBS"/>
    <tableColumn id="2" name="Work package"/>
    <tableColumn id="3" name="ProjectLibre ID"/>
    <tableColumn id="4" name="Trello card"/>
    <tableColumn id="5" name="Trello link"/>
    <tableColumn id="6" name="Baseline cost"/>
    <tableColumn id="7" name="Linked risks"/>
    <tableColumn id="8" name="RACI accountable"/>
    <tableColumn id="9" name="Quality metric"/>
    <tableColumn id="10" name="Critical path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31.5" hidden="false" customHeight="true" outlineLevel="0" collapsed="false">
      <c r="A3" s="2" t="s">
        <v>2</v>
      </c>
      <c r="B3" s="2"/>
      <c r="C3" s="2"/>
      <c r="D3" s="2"/>
    </row>
    <row r="5" customFormat="false" ht="31.5" hidden="false" customHeight="tru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4" t="str">
        <f aca="false">HYPERLINK("#'Resources'!A1","Resources")</f>
        <v>Resources</v>
      </c>
      <c r="B6" s="5" t="s">
        <v>5</v>
      </c>
    </row>
    <row r="7" customFormat="false" ht="15" hidden="false" customHeight="false" outlineLevel="0" collapsed="false">
      <c r="A7" s="4" t="str">
        <f aca="false">HYPERLINK("#'Assignments'!A1","Assignments")</f>
        <v>Assignments</v>
      </c>
      <c r="B7" s="5" t="s">
        <v>6</v>
      </c>
    </row>
    <row r="8" customFormat="false" ht="15" hidden="false" customHeight="false" outlineLevel="0" collapsed="false">
      <c r="A8" s="4" t="str">
        <f aca="false">HYPERLINK("#'Schedule_WBS'!A1","Schedule_WBS")</f>
        <v>Schedule_WBS</v>
      </c>
      <c r="B8" s="5" t="s">
        <v>7</v>
      </c>
    </row>
    <row r="9" customFormat="false" ht="15" hidden="false" customHeight="false" outlineLevel="0" collapsed="false">
      <c r="A9" s="4" t="str">
        <f aca="false">HYPERLINK("#'Risk_Register'!A1","Risk_Register")</f>
        <v>Risk_Register</v>
      </c>
      <c r="B9" s="5" t="s">
        <v>8</v>
      </c>
    </row>
    <row r="10" customFormat="false" ht="15" hidden="false" customHeight="false" outlineLevel="0" collapsed="false">
      <c r="A10" s="4" t="str">
        <f aca="false">HYPERLINK("#'Risk_Heatmap_5x5'!A1","Risk_Heatmap_5x5")</f>
        <v>Risk_Heatmap_5x5</v>
      </c>
      <c r="B10" s="5" t="s">
        <v>9</v>
      </c>
    </row>
    <row r="11" customFormat="false" ht="15" hidden="false" customHeight="false" outlineLevel="0" collapsed="false">
      <c r="A11" s="4" t="str">
        <f aca="false">HYPERLINK("#'Cost_Baseline'!A1","Cost_Baseline")</f>
        <v>Cost_Baseline</v>
      </c>
      <c r="B11" s="5" t="s">
        <v>10</v>
      </c>
    </row>
    <row r="12" customFormat="false" ht="15" hidden="false" customHeight="false" outlineLevel="0" collapsed="false">
      <c r="A12" s="4" t="str">
        <f aca="false">HYPERLINK("#'EVM_Status'!A1","EVM_Status")</f>
        <v>EVM_Status</v>
      </c>
      <c r="B12" s="5" t="s">
        <v>11</v>
      </c>
    </row>
    <row r="13" customFormat="false" ht="15" hidden="false" customHeight="false" outlineLevel="0" collapsed="false">
      <c r="A13" s="4" t="str">
        <f aca="false">HYPERLINK("#'Dashboard'!A1","Dashboard")</f>
        <v>Dashboard</v>
      </c>
      <c r="B13" s="5" t="s">
        <v>12</v>
      </c>
    </row>
    <row r="14" customFormat="false" ht="15" hidden="false" customHeight="false" outlineLevel="0" collapsed="false">
      <c r="A14" s="4" t="str">
        <f aca="false">HYPERLINK("#'Stakeholder_Register'!A1","Stakeholder_Register")</f>
        <v>Stakeholder_Register</v>
      </c>
      <c r="B14" s="5" t="s">
        <v>13</v>
      </c>
    </row>
    <row r="15" customFormat="false" ht="15" hidden="false" customHeight="false" outlineLevel="0" collapsed="false">
      <c r="A15" s="4" t="str">
        <f aca="false">HYPERLINK("#'Comms_Plan'!A1","Comms_Plan")</f>
        <v>Comms_Plan</v>
      </c>
      <c r="B15" s="5" t="s">
        <v>14</v>
      </c>
    </row>
    <row r="16" customFormat="false" ht="15" hidden="false" customHeight="false" outlineLevel="0" collapsed="false">
      <c r="A16" s="4" t="str">
        <f aca="false">HYPERLINK("#'RACI'!A1","RACI")</f>
        <v>RACI</v>
      </c>
      <c r="B16" s="5" t="s">
        <v>15</v>
      </c>
    </row>
    <row r="17" customFormat="false" ht="15" hidden="false" customHeight="false" outlineLevel="0" collapsed="false">
      <c r="A17" s="4" t="str">
        <f aca="false">HYPERLINK("#'Quality_Metrics'!A1","Quality_Metrics")</f>
        <v>Quality_Metrics</v>
      </c>
      <c r="B17" s="5" t="s">
        <v>16</v>
      </c>
    </row>
    <row r="18" customFormat="false" ht="15" hidden="false" customHeight="false" outlineLevel="0" collapsed="false">
      <c r="A18" s="4" t="str">
        <f aca="false">HYPERLINK("#'Control_Chart'!A1","Control_Chart")</f>
        <v>Control_Chart</v>
      </c>
      <c r="B18" s="5" t="s">
        <v>17</v>
      </c>
    </row>
    <row r="19" customFormat="false" ht="15" hidden="false" customHeight="false" outlineLevel="0" collapsed="false">
      <c r="A19" s="4" t="str">
        <f aca="false">HYPERLINK("#'Change_Log'!A1","Change_Log")</f>
        <v>Change_Log</v>
      </c>
      <c r="B19" s="5" t="s">
        <v>18</v>
      </c>
    </row>
    <row r="20" customFormat="false" ht="15" hidden="false" customHeight="false" outlineLevel="0" collapsed="false">
      <c r="A20" s="4" t="str">
        <f aca="false">HYPERLINK("#'Issue_Log'!A1","Issue_Log")</f>
        <v>Issue_Log</v>
      </c>
      <c r="B20" s="5" t="s">
        <v>19</v>
      </c>
    </row>
    <row r="21" customFormat="false" ht="15" hidden="false" customHeight="false" outlineLevel="0" collapsed="false">
      <c r="A21" s="4" t="str">
        <f aca="false">HYPERLINK("#'Traceability'!A1","Traceability")</f>
        <v>Traceability</v>
      </c>
      <c r="B21" s="5" t="s">
        <v>20</v>
      </c>
    </row>
    <row r="22" customFormat="false" ht="15" hidden="false" customHeight="false" outlineLevel="0" collapsed="false">
      <c r="A22" s="4" t="str">
        <f aca="false">HYPERLINK("#'Closure'!A1","Closure")</f>
        <v>Closure</v>
      </c>
      <c r="B22" s="5" t="s">
        <v>21</v>
      </c>
    </row>
    <row r="23" customFormat="false" ht="15" hidden="false" customHeight="false" outlineLevel="0" collapsed="false">
      <c r="A23" s="4" t="str">
        <f aca="false">HYPERLINK("#'Lookups'!A1","Lookups")</f>
        <v>Lookups</v>
      </c>
      <c r="B23" s="5" t="s">
        <v>22</v>
      </c>
    </row>
    <row r="25" customFormat="false" ht="15" hidden="false" customHeight="false" outlineLevel="0" collapsed="false">
      <c r="A25" s="6" t="s">
        <v>23</v>
      </c>
    </row>
    <row r="26" customFormat="false" ht="15" hidden="false" customHeight="false" outlineLevel="0" collapsed="false">
      <c r="A26" s="6" t="s">
        <v>24</v>
      </c>
      <c r="B26" s="0" t="s">
        <v>25</v>
      </c>
    </row>
    <row r="27" customFormat="false" ht="15" hidden="false" customHeight="false" outlineLevel="0" collapsed="false">
      <c r="A27" s="6" t="s">
        <v>26</v>
      </c>
      <c r="B27" s="0" t="s">
        <v>27</v>
      </c>
    </row>
    <row r="28" customFormat="false" ht="15" hidden="false" customHeight="false" outlineLevel="0" collapsed="false">
      <c r="A28" s="6" t="s">
        <v>28</v>
      </c>
      <c r="B28" s="0" t="s">
        <v>29</v>
      </c>
    </row>
    <row r="29" customFormat="false" ht="15" hidden="false" customHeight="false" outlineLevel="0" collapsed="false">
      <c r="A29" s="6" t="s">
        <v>30</v>
      </c>
      <c r="B29" s="0" t="s">
        <v>31</v>
      </c>
    </row>
  </sheetData>
  <mergeCells count="1">
    <mergeCell ref="A3:D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6" min="1" style="0" width="12"/>
  </cols>
  <sheetData>
    <row r="1" customFormat="false" ht="19.7" hidden="false" customHeight="false" outlineLevel="0" collapsed="false">
      <c r="A1" s="1" t="s">
        <v>32</v>
      </c>
    </row>
    <row r="2" customFormat="false" ht="15" hidden="false" customHeight="false" outlineLevel="0" collapsed="false">
      <c r="A2" s="7" t="s">
        <v>33</v>
      </c>
    </row>
    <row r="4" customFormat="false" ht="15" hidden="false" customHeight="true" outlineLevel="0" collapsed="false">
      <c r="A4" s="3" t="s">
        <v>34</v>
      </c>
      <c r="B4" s="3"/>
      <c r="C4" s="3"/>
      <c r="E4" s="3" t="s">
        <v>35</v>
      </c>
      <c r="F4" s="3"/>
      <c r="G4" s="3"/>
      <c r="I4" s="3" t="s">
        <v>36</v>
      </c>
      <c r="J4" s="3"/>
      <c r="K4" s="3"/>
      <c r="M4" s="3" t="s">
        <v>37</v>
      </c>
      <c r="N4" s="3"/>
      <c r="O4" s="3"/>
    </row>
    <row r="5" customFormat="false" ht="15" hidden="false" customHeight="false" outlineLevel="0" collapsed="false">
      <c r="A5" s="8" t="n">
        <f aca="false">SPI</f>
        <v>0.913632619439868</v>
      </c>
      <c r="B5" s="8"/>
      <c r="C5" s="8"/>
      <c r="E5" s="8" t="n">
        <f aca="false">CPI</f>
        <v>0.957277866482544</v>
      </c>
      <c r="F5" s="8"/>
      <c r="G5" s="8"/>
      <c r="I5" s="9" t="n">
        <f aca="false">EVM_Status!L18</f>
        <v>0.246428492079362</v>
      </c>
      <c r="J5" s="9"/>
      <c r="K5" s="9"/>
      <c r="M5" s="10" t="n">
        <f aca="false">EAC</f>
        <v>940353.925979354</v>
      </c>
      <c r="N5" s="10"/>
      <c r="O5" s="10"/>
    </row>
    <row r="6" customFormat="false" ht="15" hidden="false" customHeight="false" outlineLevel="0" collapsed="false">
      <c r="A6" s="8"/>
      <c r="B6" s="8"/>
      <c r="C6" s="8"/>
      <c r="E6" s="8"/>
      <c r="F6" s="8"/>
      <c r="G6" s="8"/>
      <c r="I6" s="9"/>
      <c r="J6" s="9"/>
      <c r="K6" s="9"/>
      <c r="M6" s="10"/>
      <c r="N6" s="10"/>
      <c r="O6" s="10"/>
    </row>
    <row r="8" customFormat="false" ht="15" hidden="false" customHeight="true" outlineLevel="0" collapsed="false">
      <c r="A8" s="3" t="s">
        <v>38</v>
      </c>
      <c r="B8" s="3"/>
      <c r="C8" s="3"/>
      <c r="E8" s="3" t="s">
        <v>39</v>
      </c>
      <c r="F8" s="3"/>
      <c r="G8" s="3"/>
      <c r="I8" s="3" t="s">
        <v>40</v>
      </c>
      <c r="J8" s="3"/>
      <c r="K8" s="3"/>
      <c r="M8" s="3" t="s">
        <v>41</v>
      </c>
      <c r="N8" s="3"/>
      <c r="O8" s="3"/>
    </row>
    <row r="9" customFormat="false" ht="15" hidden="false" customHeight="false" outlineLevel="0" collapsed="false">
      <c r="A9" s="10" t="n">
        <f aca="false">VAC</f>
        <v>-40173.9259793536</v>
      </c>
      <c r="B9" s="10"/>
      <c r="C9" s="10"/>
      <c r="E9" s="11" t="n">
        <f aca="false">Risk_Register!T21</f>
        <v>7</v>
      </c>
      <c r="F9" s="11"/>
      <c r="G9" s="11"/>
      <c r="I9" s="11" t="n">
        <f aca="false">Issue_Log!B11</f>
        <v>3</v>
      </c>
      <c r="J9" s="11"/>
      <c r="K9" s="11"/>
      <c r="M9" s="12" t="str">
        <f aca="false">COUNTIF(Change_Log!K5:K7,"Approved")&amp;" of "&amp;COUNTA(Change_Log!A5:A7)</f>
        <v>2 of 3</v>
      </c>
      <c r="N9" s="12"/>
      <c r="O9" s="12"/>
    </row>
    <row r="10" customFormat="false" ht="15" hidden="false" customHeight="false" outlineLevel="0" collapsed="false">
      <c r="A10" s="10"/>
      <c r="B10" s="10"/>
      <c r="C10" s="10"/>
      <c r="E10" s="11"/>
      <c r="F10" s="11"/>
      <c r="G10" s="11"/>
      <c r="I10" s="11"/>
      <c r="J10" s="11"/>
      <c r="K10" s="11"/>
      <c r="M10" s="12"/>
      <c r="N10" s="12"/>
      <c r="O10" s="12"/>
    </row>
    <row r="12" customFormat="false" ht="17.9" hidden="false" customHeight="false" outlineLevel="0" collapsed="false">
      <c r="A12" s="6" t="s">
        <v>42</v>
      </c>
      <c r="B12" s="13" t="str">
        <f aca="false">IF(OR(SPI&lt;0.9,CPI&lt;0.9),"RED",IF(OR(SPI&lt;0.95,CPI&lt;0.95),"AMBER","GREEN"))</f>
        <v>AMBER</v>
      </c>
      <c r="D12" s="0" t="str">
        <f aca="false">"Forecast go-live "&amp;TEXT(E21,"dd/mm/yyyy")&amp;" vs hard deadline 05/02/2027 — buffer "&amp;(NETWORKDAYS(E21,DATE(2027,2,5),Holidays)-1)&amp;" working day(s) before CR-02 recovery"</f>
        <v>Forecast go-live 04/02/2027 vs hard deadline 05/02/2027 — buffer 1 working day(s) before CR-02 recovery</v>
      </c>
    </row>
    <row r="14" customFormat="false" ht="15" hidden="false" customHeight="false" outlineLevel="0" collapsed="false">
      <c r="A14" s="14" t="s">
        <v>43</v>
      </c>
      <c r="I14" s="14" t="s">
        <v>44</v>
      </c>
    </row>
    <row r="15" customFormat="false" ht="15" hidden="false" customHeight="false" outlineLevel="0" collapsed="false">
      <c r="A15" s="15" t="s">
        <v>45</v>
      </c>
      <c r="B15" s="15" t="s">
        <v>46</v>
      </c>
      <c r="C15" s="15"/>
      <c r="D15" s="15" t="s">
        <v>47</v>
      </c>
      <c r="E15" s="15" t="s">
        <v>48</v>
      </c>
      <c r="F15" s="15" t="s">
        <v>49</v>
      </c>
      <c r="G15" s="15" t="s">
        <v>50</v>
      </c>
      <c r="I15" s="6" t="s">
        <v>45</v>
      </c>
      <c r="J15" s="6" t="s">
        <v>51</v>
      </c>
      <c r="K15" s="6"/>
      <c r="L15" s="6"/>
      <c r="M15" s="6" t="s">
        <v>52</v>
      </c>
      <c r="N15" s="6"/>
      <c r="O15" s="6" t="s">
        <v>53</v>
      </c>
    </row>
    <row r="16" customFormat="false" ht="15" hidden="false" customHeight="false" outlineLevel="0" collapsed="false">
      <c r="A16" s="16" t="s">
        <v>54</v>
      </c>
      <c r="B16" s="16" t="s">
        <v>55</v>
      </c>
      <c r="C16" s="16"/>
      <c r="D16" s="17" t="n">
        <v>46220</v>
      </c>
      <c r="E16" s="17" t="n">
        <v>46220</v>
      </c>
      <c r="F16" s="16" t="n">
        <f aca="false">IF(E16&lt;=D16,0,NETWORKDAYS(D16,E16,Holidays)-1)</f>
        <v>0</v>
      </c>
      <c r="G16" s="16" t="s">
        <v>56</v>
      </c>
      <c r="I16" s="16" t="str">
        <f aca="false">Quality_Metrics!A5</f>
        <v>Q01</v>
      </c>
      <c r="J16" s="18" t="str">
        <f aca="false">Quality_Metrics!B5</f>
        <v>Migration record accuracy</v>
      </c>
      <c r="K16" s="18"/>
      <c r="L16" s="18"/>
      <c r="M16" s="16" t="str">
        <f aca="false">Quality_Metrics!G5</f>
        <v>95.3% (trial 1)</v>
      </c>
      <c r="N16" s="16"/>
      <c r="O16" s="18" t="str">
        <f aca="false">Quality_Metrics!H5</f>
        <v>Red</v>
      </c>
    </row>
    <row r="17" customFormat="false" ht="15" hidden="false" customHeight="false" outlineLevel="0" collapsed="false">
      <c r="A17" s="16" t="s">
        <v>57</v>
      </c>
      <c r="B17" s="16" t="s">
        <v>58</v>
      </c>
      <c r="C17" s="16"/>
      <c r="D17" s="17" t="n">
        <v>46269</v>
      </c>
      <c r="E17" s="17" t="n">
        <v>46269</v>
      </c>
      <c r="F17" s="16" t="n">
        <f aca="false">IF(E17&lt;=D17,0,NETWORKDAYS(D17,E17,Holidays)-1)</f>
        <v>0</v>
      </c>
      <c r="G17" s="16" t="s">
        <v>56</v>
      </c>
      <c r="I17" s="16" t="str">
        <f aca="false">Quality_Metrics!A6</f>
        <v>Q02</v>
      </c>
      <c r="J17" s="18" t="str">
        <f aca="false">Quality_Metrics!B6</f>
        <v>Portal availability</v>
      </c>
      <c r="K17" s="18"/>
      <c r="L17" s="18"/>
      <c r="M17" s="16" t="str">
        <f aca="false">Quality_Metrics!G6</f>
        <v>99.2% (test env.)</v>
      </c>
      <c r="N17" s="16"/>
      <c r="O17" s="18" t="str">
        <f aca="false">Quality_Metrics!H6</f>
        <v>Amber</v>
      </c>
    </row>
    <row r="18" customFormat="false" ht="15" hidden="false" customHeight="false" outlineLevel="0" collapsed="false">
      <c r="A18" s="16" t="s">
        <v>59</v>
      </c>
      <c r="B18" s="16" t="s">
        <v>60</v>
      </c>
      <c r="C18" s="16"/>
      <c r="D18" s="17" t="n">
        <v>46321</v>
      </c>
      <c r="E18" s="17" t="n">
        <v>46321</v>
      </c>
      <c r="F18" s="16" t="n">
        <f aca="false">IF(E18&lt;=D18,0,NETWORKDAYS(D18,E18,Holidays)-1)</f>
        <v>0</v>
      </c>
      <c r="G18" s="16" t="str">
        <f aca="false">IF(F18&gt;0,"At risk","On track")</f>
        <v>On track</v>
      </c>
      <c r="I18" s="16" t="str">
        <f aca="false">Quality_Metrics!A7</f>
        <v>Q03</v>
      </c>
      <c r="J18" s="18" t="str">
        <f aca="false">Quality_Metrics!B7</f>
        <v>Page load p95 at 5,000 concurrent users</v>
      </c>
      <c r="K18" s="18"/>
      <c r="L18" s="18"/>
      <c r="M18" s="16" t="str">
        <f aca="false">Quality_Metrics!G7</f>
        <v>Not yet tested</v>
      </c>
      <c r="N18" s="16"/>
      <c r="O18" s="18" t="str">
        <f aca="false">Quality_Metrics!H7</f>
        <v>Grey</v>
      </c>
    </row>
    <row r="19" customFormat="false" ht="15" hidden="false" customHeight="false" outlineLevel="0" collapsed="false">
      <c r="A19" s="16" t="s">
        <v>61</v>
      </c>
      <c r="B19" s="16" t="s">
        <v>62</v>
      </c>
      <c r="C19" s="16"/>
      <c r="D19" s="17" t="n">
        <v>46328</v>
      </c>
      <c r="E19" s="17" t="n">
        <v>46342</v>
      </c>
      <c r="F19" s="16" t="n">
        <f aca="false">IF(E19&lt;=D19,0,NETWORKDAYS(D19,E19,Holidays)-1)</f>
        <v>10</v>
      </c>
      <c r="G19" s="16" t="str">
        <f aca="false">IF(F19&gt;0,"At risk","On track")</f>
        <v>At risk</v>
      </c>
      <c r="I19" s="16" t="str">
        <f aca="false">Quality_Metrics!A8</f>
        <v>Q04</v>
      </c>
      <c r="J19" s="18" t="str">
        <f aca="false">Quality_Metrics!B8</f>
        <v>WCAG 2.1 AA critical failures</v>
      </c>
      <c r="K19" s="18"/>
      <c r="L19" s="18"/>
      <c r="M19" s="16" t="str">
        <f aca="false">Quality_Metrics!G8</f>
        <v>2 (Sprint 1 scan)</v>
      </c>
      <c r="N19" s="16"/>
      <c r="O19" s="18" t="str">
        <f aca="false">Quality_Metrics!H8</f>
        <v>Amber</v>
      </c>
    </row>
    <row r="20" customFormat="false" ht="15" hidden="false" customHeight="false" outlineLevel="0" collapsed="false">
      <c r="A20" s="16" t="s">
        <v>63</v>
      </c>
      <c r="B20" s="16" t="s">
        <v>64</v>
      </c>
      <c r="C20" s="16"/>
      <c r="D20" s="17" t="n">
        <v>46370</v>
      </c>
      <c r="E20" s="17" t="n">
        <v>46393</v>
      </c>
      <c r="F20" s="16" t="n">
        <f aca="false">IF(E20&lt;=D20,0,NETWORKDAYS(D20,E20,Holidays)-1)</f>
        <v>10</v>
      </c>
      <c r="G20" s="16" t="str">
        <f aca="false">IF(F20&gt;0,"At risk","On track")</f>
        <v>At risk</v>
      </c>
      <c r="I20" s="16" t="str">
        <f aca="false">Quality_Metrics!A9</f>
        <v>Q05</v>
      </c>
      <c r="J20" s="18" t="str">
        <f aca="false">Quality_Metrics!B9</f>
        <v>UAT pass rate</v>
      </c>
      <c r="K20" s="18"/>
      <c r="L20" s="18"/>
      <c r="M20" s="16" t="str">
        <f aca="false">Quality_Metrics!G9</f>
        <v>Not started</v>
      </c>
      <c r="N20" s="16"/>
      <c r="O20" s="18" t="str">
        <f aca="false">Quality_Metrics!H9</f>
        <v>Grey</v>
      </c>
    </row>
    <row r="21" customFormat="false" ht="15" hidden="false" customHeight="false" outlineLevel="0" collapsed="false">
      <c r="A21" s="16" t="s">
        <v>65</v>
      </c>
      <c r="B21" s="16" t="s">
        <v>66</v>
      </c>
      <c r="C21" s="16"/>
      <c r="D21" s="17" t="n">
        <v>46407</v>
      </c>
      <c r="E21" s="17" t="n">
        <v>46422</v>
      </c>
      <c r="F21" s="16" t="n">
        <f aca="false">IF(E21&lt;=D21,0,NETWORKDAYS(D21,E21,Holidays)-1)</f>
        <v>10</v>
      </c>
      <c r="G21" s="16" t="str">
        <f aca="false">IF(F21&gt;0,"At risk","On track")</f>
        <v>At risk</v>
      </c>
      <c r="I21" s="16" t="str">
        <f aca="false">Quality_Metrics!A10</f>
        <v>Q06</v>
      </c>
      <c r="J21" s="18" t="str">
        <f aca="false">Quality_Metrics!B10</f>
        <v>Open Severity-1 defects at go-live</v>
      </c>
      <c r="K21" s="18"/>
      <c r="L21" s="18"/>
      <c r="M21" s="16" t="str">
        <f aca="false">Quality_Metrics!G10</f>
        <v>1 open (ISS-02)</v>
      </c>
      <c r="N21" s="16"/>
      <c r="O21" s="18" t="str">
        <f aca="false">Quality_Metrics!H10</f>
        <v>Amber</v>
      </c>
    </row>
    <row r="22" customFormat="false" ht="15" hidden="false" customHeight="false" outlineLevel="0" collapsed="false">
      <c r="A22" s="16" t="s">
        <v>67</v>
      </c>
      <c r="B22" s="16" t="s">
        <v>68</v>
      </c>
      <c r="C22" s="16"/>
      <c r="D22" s="17" t="n">
        <v>46457</v>
      </c>
      <c r="E22" s="17" t="n">
        <v>46471</v>
      </c>
      <c r="F22" s="16" t="n">
        <f aca="false">IF(E22&lt;=D22,0,NETWORKDAYS(D22,E22,Holidays)-1)</f>
        <v>10</v>
      </c>
      <c r="G22" s="16" t="str">
        <f aca="false">IF(F22&gt;0,"At risk","On track")</f>
        <v>At risk</v>
      </c>
      <c r="I22" s="16" t="str">
        <f aca="false">Quality_Metrics!A11</f>
        <v>Q07</v>
      </c>
      <c r="J22" s="18" t="str">
        <f aca="false">Quality_Metrics!B11</f>
        <v>Portal-related helpdesk tickets</v>
      </c>
      <c r="K22" s="18"/>
      <c r="L22" s="18"/>
      <c r="M22" s="16" t="str">
        <f aca="false">Quality_Metrics!G11</f>
        <v>Baseline 4,200/month</v>
      </c>
      <c r="N22" s="16"/>
      <c r="O22" s="18" t="str">
        <f aca="false">Quality_Metrics!H11</f>
        <v>Grey</v>
      </c>
    </row>
    <row r="25" customFormat="false" ht="15" hidden="false" customHeight="false" outlineLevel="0" collapsed="false">
      <c r="A25" s="14" t="s">
        <v>69</v>
      </c>
    </row>
    <row r="26" customFormat="false" ht="15" hidden="false" customHeight="false" outlineLevel="0" collapsed="false">
      <c r="A26" s="6" t="s">
        <v>70</v>
      </c>
      <c r="B26" s="6" t="s">
        <v>71</v>
      </c>
      <c r="C26" s="6" t="s">
        <v>72</v>
      </c>
    </row>
    <row r="27" customFormat="false" ht="15" hidden="false" customHeight="false" outlineLevel="0" collapsed="false">
      <c r="A27" s="0" t="s">
        <v>73</v>
      </c>
      <c r="B27" s="0" t="n">
        <f aca="false">COUNTIF(Risk_Register!$I$5:$I$17,A27)</f>
        <v>0</v>
      </c>
      <c r="C27" s="0" t="n">
        <f aca="false">COUNTIF(Risk_Register!$Q$5:$Q$17,A27)</f>
        <v>0</v>
      </c>
    </row>
    <row r="28" customFormat="false" ht="15" hidden="false" customHeight="false" outlineLevel="0" collapsed="false">
      <c r="A28" s="0" t="s">
        <v>74</v>
      </c>
      <c r="B28" s="0" t="n">
        <f aca="false">COUNTIF(Risk_Register!$I$5:$I$17,A28)</f>
        <v>7</v>
      </c>
      <c r="C28" s="0" t="n">
        <f aca="false">COUNTIF(Risk_Register!$Q$5:$Q$17,A28)</f>
        <v>1</v>
      </c>
    </row>
    <row r="29" customFormat="false" ht="15" hidden="false" customHeight="false" outlineLevel="0" collapsed="false">
      <c r="A29" s="0" t="s">
        <v>75</v>
      </c>
      <c r="B29" s="0" t="n">
        <f aca="false">COUNTIF(Risk_Register!$I$5:$I$17,A29)</f>
        <v>6</v>
      </c>
      <c r="C29" s="0" t="n">
        <f aca="false">COUNTIF(Risk_Register!$Q$5:$Q$17,A29)</f>
        <v>7</v>
      </c>
    </row>
    <row r="30" customFormat="false" ht="15" hidden="false" customHeight="false" outlineLevel="0" collapsed="false">
      <c r="A30" s="0" t="s">
        <v>76</v>
      </c>
      <c r="B30" s="0" t="n">
        <f aca="false">COUNTIF(Risk_Register!$I$5:$I$17,A30)</f>
        <v>0</v>
      </c>
      <c r="C30" s="0" t="n">
        <f aca="false">COUNTIF(Risk_Register!$Q$5:$Q$17,A30)</f>
        <v>5</v>
      </c>
    </row>
  </sheetData>
  <mergeCells count="37">
    <mergeCell ref="A4:C4"/>
    <mergeCell ref="E4:G4"/>
    <mergeCell ref="I4:K4"/>
    <mergeCell ref="M4:O4"/>
    <mergeCell ref="A5:C6"/>
    <mergeCell ref="E5:G6"/>
    <mergeCell ref="I5:K6"/>
    <mergeCell ref="M5:O6"/>
    <mergeCell ref="A8:C8"/>
    <mergeCell ref="E8:G8"/>
    <mergeCell ref="I8:K8"/>
    <mergeCell ref="M8:O8"/>
    <mergeCell ref="A9:C10"/>
    <mergeCell ref="E9:G10"/>
    <mergeCell ref="I9:K10"/>
    <mergeCell ref="M9:O10"/>
    <mergeCell ref="B16:C16"/>
    <mergeCell ref="J16:L16"/>
    <mergeCell ref="M16:N16"/>
    <mergeCell ref="B17:C17"/>
    <mergeCell ref="J17:L17"/>
    <mergeCell ref="M17:N17"/>
    <mergeCell ref="B18:C18"/>
    <mergeCell ref="J18:L18"/>
    <mergeCell ref="M18:N18"/>
    <mergeCell ref="B19:C19"/>
    <mergeCell ref="J19:L19"/>
    <mergeCell ref="M19:N19"/>
    <mergeCell ref="B20:C20"/>
    <mergeCell ref="J20:L20"/>
    <mergeCell ref="M20:N20"/>
    <mergeCell ref="B21:C21"/>
    <mergeCell ref="J21:L21"/>
    <mergeCell ref="M21:N21"/>
    <mergeCell ref="B22:C22"/>
    <mergeCell ref="J22:L22"/>
    <mergeCell ref="M22:N22"/>
  </mergeCells>
  <conditionalFormatting sqref="A5">
    <cfRule type="cellIs" priority="2" operator="lessThan" aboveAverage="0" equalAverage="0" bottom="0" percent="0" rank="0" text="" dxfId="0">
      <formula>0.9</formula>
    </cfRule>
    <cfRule type="cellIs" priority="3" operator="between" aboveAverage="0" equalAverage="0" bottom="0" percent="0" rank="0" text="" dxfId="0">
      <formula>0.9</formula>
      <formula>0.9499</formula>
    </cfRule>
    <cfRule type="cellIs" priority="4" operator="greaterThanOrEqual" aboveAverage="0" equalAverage="0" bottom="0" percent="0" rank="0" text="" dxfId="0">
      <formula>0.95</formula>
    </cfRule>
  </conditionalFormatting>
  <conditionalFormatting sqref="E5">
    <cfRule type="cellIs" priority="5" operator="lessThan" aboveAverage="0" equalAverage="0" bottom="0" percent="0" rank="0" text="" dxfId="0">
      <formula>0.9</formula>
    </cfRule>
    <cfRule type="cellIs" priority="6" operator="between" aboveAverage="0" equalAverage="0" bottom="0" percent="0" rank="0" text="" dxfId="0">
      <formula>0.9</formula>
      <formula>0.9499</formula>
    </cfRule>
    <cfRule type="cellIs" priority="7" operator="greaterThanOrEqual" aboveAverage="0" equalAverage="0" bottom="0" percent="0" rank="0" text="" dxfId="0">
      <formula>0.95</formula>
    </cfRule>
  </conditionalFormatting>
  <conditionalFormatting sqref="A9">
    <cfRule type="cellIs" priority="8" operator="lessThan" aboveAverage="0" equalAverage="0" bottom="0" percent="0" rank="0" text="" dxfId="0">
      <formula>0</formula>
    </cfRule>
  </conditionalFormatting>
  <conditionalFormatting sqref="B12">
    <cfRule type="cellIs" priority="9" operator="equal" aboveAverage="0" equalAverage="0" bottom="0" percent="0" rank="0" text="" dxfId="0">
      <formula>"GREEN"</formula>
    </cfRule>
    <cfRule type="cellIs" priority="10" operator="equal" aboveAverage="0" equalAverage="0" bottom="0" percent="0" rank="0" text="" dxfId="0">
      <formula>"AMBER"</formula>
    </cfRule>
    <cfRule type="cellIs" priority="11" operator="equal" aboveAverage="0" equalAverage="0" bottom="0" percent="0" rank="0" text="" dxfId="0">
      <formula>"RED"</formula>
    </cfRule>
  </conditionalFormatting>
  <conditionalFormatting sqref="G16:G22">
    <cfRule type="cellIs" priority="12" operator="equal" aboveAverage="0" equalAverage="0" bottom="0" percent="0" rank="0" text="" dxfId="0">
      <formula>"At risk"</formula>
    </cfRule>
    <cfRule type="cellIs" priority="13" operator="equal" aboveAverage="0" equalAverage="0" bottom="0" percent="0" rank="0" text="" dxfId="0">
      <formula>"Achieved"</formula>
    </cfRule>
  </conditionalFormatting>
  <conditionalFormatting sqref="O16:O22">
    <cfRule type="cellIs" priority="14" operator="equal" aboveAverage="0" equalAverage="0" bottom="0" percent="0" rank="0" text="" dxfId="0">
      <formula>"Green"</formula>
    </cfRule>
    <cfRule type="cellIs" priority="15" operator="equal" aboveAverage="0" equalAverage="0" bottom="0" percent="0" rank="0" text="" dxfId="0">
      <formula>"Amber"</formula>
    </cfRule>
    <cfRule type="cellIs" priority="16" operator="equal" aboveAverage="0" equalAverage="0" bottom="0" percent="0" rank="0" text="" dxfId="0">
      <formula>"Red"</formula>
    </cfRule>
    <cfRule type="cellIs" priority="17" operator="equal" aboveAverage="0" equalAverage="0" bottom="0" percent="0" rank="0" text="" dxfId="0">
      <formula>"Grey"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7" min="6" style="0" width="5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40"/>
    <col collapsed="false" customWidth="true" hidden="false" outlineLevel="0" max="13" min="13" style="0" width="30"/>
    <col collapsed="false" customWidth="true" hidden="false" outlineLevel="0" max="15" min="14" style="0" width="6"/>
    <col collapsed="false" customWidth="true" hidden="false" outlineLevel="0" max="16" min="16" style="0" width="7"/>
    <col collapsed="false" customWidth="true" hidden="false" outlineLevel="0" max="18" min="17" style="0" width="10"/>
    <col collapsed="false" customWidth="true" hidden="false" outlineLevel="0" max="20" min="19" style="0" width="11"/>
    <col collapsed="false" customWidth="true" hidden="false" outlineLevel="0" max="21" min="21" style="0" width="22"/>
    <col collapsed="false" customWidth="true" hidden="false" outlineLevel="0" max="23" min="22" style="0" width="7"/>
  </cols>
  <sheetData>
    <row r="1" customFormat="false" ht="18.55" hidden="false" customHeight="false" outlineLevel="0" collapsed="false">
      <c r="A1" s="19" t="s">
        <v>77</v>
      </c>
    </row>
    <row r="2" customFormat="false" ht="15" hidden="false" customHeight="false" outlineLevel="0" collapsed="false">
      <c r="A2" s="7" t="s">
        <v>78</v>
      </c>
    </row>
    <row r="4" customFormat="false" ht="31.5" hidden="false" customHeight="true" outlineLevel="0" collapsed="false">
      <c r="A4" s="3" t="s">
        <v>45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3" t="s">
        <v>85</v>
      </c>
      <c r="I4" s="3" t="s">
        <v>70</v>
      </c>
      <c r="J4" s="3" t="s">
        <v>86</v>
      </c>
      <c r="K4" s="3" t="s">
        <v>87</v>
      </c>
      <c r="L4" s="3" t="s">
        <v>88</v>
      </c>
      <c r="M4" s="3" t="s">
        <v>89</v>
      </c>
      <c r="N4" s="3" t="s">
        <v>90</v>
      </c>
      <c r="O4" s="3" t="s">
        <v>91</v>
      </c>
      <c r="P4" s="3" t="s">
        <v>92</v>
      </c>
      <c r="Q4" s="3" t="s">
        <v>93</v>
      </c>
      <c r="R4" s="3" t="s">
        <v>94</v>
      </c>
      <c r="S4" s="3" t="s">
        <v>95</v>
      </c>
      <c r="T4" s="3" t="s">
        <v>96</v>
      </c>
      <c r="U4" s="3" t="s">
        <v>50</v>
      </c>
      <c r="V4" s="3" t="s">
        <v>97</v>
      </c>
      <c r="W4" s="3" t="s">
        <v>98</v>
      </c>
    </row>
    <row r="5" customFormat="false" ht="49.5" hidden="false" customHeight="true" outlineLevel="0" collapsed="false">
      <c r="A5" s="20" t="s">
        <v>99</v>
      </c>
      <c r="B5" s="20" t="s">
        <v>100</v>
      </c>
      <c r="C5" s="20" t="s">
        <v>101</v>
      </c>
      <c r="D5" s="5" t="s">
        <v>102</v>
      </c>
      <c r="E5" s="20" t="s">
        <v>103</v>
      </c>
      <c r="F5" s="21" t="n">
        <v>4</v>
      </c>
      <c r="G5" s="21" t="n">
        <v>4</v>
      </c>
      <c r="H5" s="20" t="n">
        <f aca="false">F5*G5</f>
        <v>16</v>
      </c>
      <c r="I5" s="21" t="str">
        <f aca="false">IF(H5&gt;=20,"Extreme",IF(H5&gt;=10,"High",IF(H5&gt;=5,"Medium","Low")))</f>
        <v>High</v>
      </c>
      <c r="J5" s="20" t="s">
        <v>104</v>
      </c>
      <c r="K5" s="20" t="s">
        <v>105</v>
      </c>
      <c r="L5" s="5" t="s">
        <v>106</v>
      </c>
      <c r="M5" s="5" t="s">
        <v>107</v>
      </c>
      <c r="N5" s="21" t="n">
        <v>2</v>
      </c>
      <c r="O5" s="21" t="n">
        <v>3</v>
      </c>
      <c r="P5" s="20" t="n">
        <f aca="false">N5*O5</f>
        <v>6</v>
      </c>
      <c r="Q5" s="21" t="str">
        <f aca="false">IF(P5&gt;=20,"Extreme",IF(P5&gt;=10,"High",IF(P5&gt;=5,"Medium","Low")))</f>
        <v>Medium</v>
      </c>
      <c r="R5" s="22" t="n">
        <f aca="false">VLOOKUP(F5,ProbTable,4,FALSE())</f>
        <v>0.65</v>
      </c>
      <c r="S5" s="23" t="n">
        <v>60000</v>
      </c>
      <c r="T5" s="23" t="n">
        <f aca="false">R5*S5</f>
        <v>39000</v>
      </c>
      <c r="U5" s="5" t="s">
        <v>108</v>
      </c>
      <c r="V5" s="20" t="str">
        <f aca="false">F5&amp;"-"&amp;G5</f>
        <v>4-4</v>
      </c>
      <c r="W5" s="20" t="str">
        <f aca="false">N5&amp;"-"&amp;O5</f>
        <v>2-3</v>
      </c>
    </row>
    <row r="6" customFormat="false" ht="49.5" hidden="false" customHeight="true" outlineLevel="0" collapsed="false">
      <c r="A6" s="20" t="s">
        <v>109</v>
      </c>
      <c r="B6" s="20" t="s">
        <v>100</v>
      </c>
      <c r="C6" s="20" t="s">
        <v>110</v>
      </c>
      <c r="D6" s="5" t="s">
        <v>111</v>
      </c>
      <c r="E6" s="20" t="s">
        <v>112</v>
      </c>
      <c r="F6" s="21" t="n">
        <v>3</v>
      </c>
      <c r="G6" s="21" t="n">
        <v>4</v>
      </c>
      <c r="H6" s="20" t="n">
        <f aca="false">F6*G6</f>
        <v>12</v>
      </c>
      <c r="I6" s="21" t="str">
        <f aca="false">IF(H6&gt;=20,"Extreme",IF(H6&gt;=10,"High",IF(H6&gt;=5,"Medium","Low")))</f>
        <v>High</v>
      </c>
      <c r="J6" s="20" t="s">
        <v>113</v>
      </c>
      <c r="K6" s="20" t="s">
        <v>105</v>
      </c>
      <c r="L6" s="5" t="s">
        <v>114</v>
      </c>
      <c r="M6" s="5" t="s">
        <v>115</v>
      </c>
      <c r="N6" s="21" t="n">
        <v>2</v>
      </c>
      <c r="O6" s="21" t="n">
        <v>3</v>
      </c>
      <c r="P6" s="20" t="n">
        <f aca="false">N6*O6</f>
        <v>6</v>
      </c>
      <c r="Q6" s="21" t="str">
        <f aca="false">IF(P6&gt;=20,"Extreme",IF(P6&gt;=10,"High",IF(P6&gt;=5,"Medium","Low")))</f>
        <v>Medium</v>
      </c>
      <c r="R6" s="22" t="n">
        <f aca="false">VLOOKUP(F6,ProbTable,4,FALSE())</f>
        <v>0.4</v>
      </c>
      <c r="S6" s="23" t="n">
        <v>15000</v>
      </c>
      <c r="T6" s="23" t="n">
        <f aca="false">R6*S6</f>
        <v>6000</v>
      </c>
      <c r="U6" s="5" t="s">
        <v>116</v>
      </c>
      <c r="V6" s="20" t="str">
        <f aca="false">F6&amp;"-"&amp;G6</f>
        <v>3-4</v>
      </c>
      <c r="W6" s="20" t="str">
        <f aca="false">N6&amp;"-"&amp;O6</f>
        <v>2-3</v>
      </c>
    </row>
    <row r="7" customFormat="false" ht="49.5" hidden="false" customHeight="true" outlineLevel="0" collapsed="false">
      <c r="A7" s="20" t="s">
        <v>117</v>
      </c>
      <c r="B7" s="20" t="s">
        <v>100</v>
      </c>
      <c r="C7" s="20" t="s">
        <v>118</v>
      </c>
      <c r="D7" s="5" t="s">
        <v>119</v>
      </c>
      <c r="E7" s="20" t="s">
        <v>120</v>
      </c>
      <c r="F7" s="21" t="n">
        <v>2</v>
      </c>
      <c r="G7" s="21" t="n">
        <v>5</v>
      </c>
      <c r="H7" s="20" t="n">
        <f aca="false">F7*G7</f>
        <v>10</v>
      </c>
      <c r="I7" s="21" t="str">
        <f aca="false">IF(H7&gt;=20,"Extreme",IF(H7&gt;=10,"High",IF(H7&gt;=5,"Medium","Low")))</f>
        <v>High</v>
      </c>
      <c r="J7" s="20" t="s">
        <v>121</v>
      </c>
      <c r="K7" s="20" t="s">
        <v>105</v>
      </c>
      <c r="L7" s="5" t="s">
        <v>122</v>
      </c>
      <c r="M7" s="5" t="s">
        <v>123</v>
      </c>
      <c r="N7" s="21" t="n">
        <v>1</v>
      </c>
      <c r="O7" s="21" t="n">
        <v>5</v>
      </c>
      <c r="P7" s="20" t="n">
        <f aca="false">N7*O7</f>
        <v>5</v>
      </c>
      <c r="Q7" s="21" t="str">
        <f aca="false">IF(P7&gt;=20,"Extreme",IF(P7&gt;=10,"High",IF(P7&gt;=5,"Medium","Low")))</f>
        <v>Medium</v>
      </c>
      <c r="R7" s="22" t="n">
        <f aca="false">VLOOKUP(F7,ProbTable,4,FALSE())</f>
        <v>0.15</v>
      </c>
      <c r="S7" s="23" t="n">
        <v>40000</v>
      </c>
      <c r="T7" s="23" t="n">
        <f aca="false">R7*S7</f>
        <v>6000</v>
      </c>
      <c r="U7" s="5" t="s">
        <v>124</v>
      </c>
      <c r="V7" s="20" t="str">
        <f aca="false">F7&amp;"-"&amp;G7</f>
        <v>2-5</v>
      </c>
      <c r="W7" s="20" t="str">
        <f aca="false">N7&amp;"-"&amp;O7</f>
        <v>1-5</v>
      </c>
    </row>
    <row r="8" customFormat="false" ht="49.5" hidden="false" customHeight="true" outlineLevel="0" collapsed="false">
      <c r="A8" s="20" t="s">
        <v>125</v>
      </c>
      <c r="B8" s="20" t="s">
        <v>100</v>
      </c>
      <c r="C8" s="20" t="s">
        <v>126</v>
      </c>
      <c r="D8" s="5" t="s">
        <v>127</v>
      </c>
      <c r="E8" s="20" t="s">
        <v>128</v>
      </c>
      <c r="F8" s="21" t="n">
        <v>3</v>
      </c>
      <c r="G8" s="21" t="n">
        <v>4</v>
      </c>
      <c r="H8" s="20" t="n">
        <f aca="false">F8*G8</f>
        <v>12</v>
      </c>
      <c r="I8" s="21" t="str">
        <f aca="false">IF(H8&gt;=20,"Extreme",IF(H8&gt;=10,"High",IF(H8&gt;=5,"Medium","Low")))</f>
        <v>High</v>
      </c>
      <c r="J8" s="20" t="s">
        <v>129</v>
      </c>
      <c r="K8" s="20" t="s">
        <v>130</v>
      </c>
      <c r="L8" s="5" t="s">
        <v>131</v>
      </c>
      <c r="M8" s="5" t="s">
        <v>132</v>
      </c>
      <c r="N8" s="21" t="n">
        <v>1</v>
      </c>
      <c r="O8" s="21" t="n">
        <v>4</v>
      </c>
      <c r="P8" s="20" t="n">
        <f aca="false">N8*O8</f>
        <v>4</v>
      </c>
      <c r="Q8" s="21" t="str">
        <f aca="false">IF(P8&gt;=20,"Extreme",IF(P8&gt;=10,"High",IF(P8&gt;=5,"Medium","Low")))</f>
        <v>Low</v>
      </c>
      <c r="R8" s="22" t="n">
        <f aca="false">VLOOKUP(F8,ProbTable,4,FALSE())</f>
        <v>0.4</v>
      </c>
      <c r="S8" s="23" t="n">
        <v>15000</v>
      </c>
      <c r="T8" s="23" t="n">
        <f aca="false">R8*S8</f>
        <v>6000</v>
      </c>
      <c r="U8" s="5" t="s">
        <v>133</v>
      </c>
      <c r="V8" s="20" t="str">
        <f aca="false">F8&amp;"-"&amp;G8</f>
        <v>3-4</v>
      </c>
      <c r="W8" s="20" t="str">
        <f aca="false">N8&amp;"-"&amp;O8</f>
        <v>1-4</v>
      </c>
    </row>
    <row r="9" customFormat="false" ht="49.5" hidden="false" customHeight="true" outlineLevel="0" collapsed="false">
      <c r="A9" s="20" t="s">
        <v>134</v>
      </c>
      <c r="B9" s="20" t="s">
        <v>100</v>
      </c>
      <c r="C9" s="20" t="s">
        <v>135</v>
      </c>
      <c r="D9" s="5" t="s">
        <v>136</v>
      </c>
      <c r="E9" s="20" t="s">
        <v>137</v>
      </c>
      <c r="F9" s="21" t="n">
        <v>2</v>
      </c>
      <c r="G9" s="21" t="n">
        <v>3</v>
      </c>
      <c r="H9" s="20" t="n">
        <f aca="false">F9*G9</f>
        <v>6</v>
      </c>
      <c r="I9" s="21" t="str">
        <f aca="false">IF(H9&gt;=20,"Extreme",IF(H9&gt;=10,"High",IF(H9&gt;=5,"Medium","Low")))</f>
        <v>Medium</v>
      </c>
      <c r="J9" s="20" t="s">
        <v>138</v>
      </c>
      <c r="K9" s="20" t="s">
        <v>105</v>
      </c>
      <c r="L9" s="5" t="s">
        <v>139</v>
      </c>
      <c r="M9" s="5" t="s">
        <v>140</v>
      </c>
      <c r="N9" s="21" t="n">
        <v>2</v>
      </c>
      <c r="O9" s="21" t="n">
        <v>2</v>
      </c>
      <c r="P9" s="20" t="n">
        <f aca="false">N9*O9</f>
        <v>4</v>
      </c>
      <c r="Q9" s="21" t="str">
        <f aca="false">IF(P9&gt;=20,"Extreme",IF(P9&gt;=10,"High",IF(P9&gt;=5,"Medium","Low")))</f>
        <v>Low</v>
      </c>
      <c r="R9" s="22" t="n">
        <f aca="false">VLOOKUP(F9,ProbTable,4,FALSE())</f>
        <v>0.15</v>
      </c>
      <c r="S9" s="23" t="n">
        <v>15000</v>
      </c>
      <c r="T9" s="23" t="n">
        <f aca="false">R9*S9</f>
        <v>2250</v>
      </c>
      <c r="U9" s="5" t="s">
        <v>124</v>
      </c>
      <c r="V9" s="20" t="str">
        <f aca="false">F9&amp;"-"&amp;G9</f>
        <v>2-3</v>
      </c>
      <c r="W9" s="20" t="str">
        <f aca="false">N9&amp;"-"&amp;O9</f>
        <v>2-2</v>
      </c>
    </row>
    <row r="10" customFormat="false" ht="49.5" hidden="false" customHeight="true" outlineLevel="0" collapsed="false">
      <c r="A10" s="20" t="s">
        <v>141</v>
      </c>
      <c r="B10" s="20" t="s">
        <v>100</v>
      </c>
      <c r="C10" s="20" t="s">
        <v>142</v>
      </c>
      <c r="D10" s="5" t="s">
        <v>143</v>
      </c>
      <c r="E10" s="20" t="s">
        <v>144</v>
      </c>
      <c r="F10" s="21" t="n">
        <v>4</v>
      </c>
      <c r="G10" s="21" t="n">
        <v>3</v>
      </c>
      <c r="H10" s="20" t="n">
        <f aca="false">F10*G10</f>
        <v>12</v>
      </c>
      <c r="I10" s="21" t="str">
        <f aca="false">IF(H10&gt;=20,"Extreme",IF(H10&gt;=10,"High",IF(H10&gt;=5,"Medium","Low")))</f>
        <v>High</v>
      </c>
      <c r="J10" s="20" t="s">
        <v>129</v>
      </c>
      <c r="K10" s="20" t="s">
        <v>105</v>
      </c>
      <c r="L10" s="5" t="s">
        <v>145</v>
      </c>
      <c r="M10" s="5" t="s">
        <v>146</v>
      </c>
      <c r="N10" s="21" t="n">
        <v>2</v>
      </c>
      <c r="O10" s="21" t="n">
        <v>3</v>
      </c>
      <c r="P10" s="20" t="n">
        <f aca="false">N10*O10</f>
        <v>6</v>
      </c>
      <c r="Q10" s="21" t="str">
        <f aca="false">IF(P10&gt;=20,"Extreme",IF(P10&gt;=10,"High",IF(P10&gt;=5,"Medium","Low")))</f>
        <v>Medium</v>
      </c>
      <c r="R10" s="22" t="n">
        <f aca="false">VLOOKUP(F10,ProbTable,4,FALSE())</f>
        <v>0.65</v>
      </c>
      <c r="S10" s="23" t="n">
        <v>10000</v>
      </c>
      <c r="T10" s="23" t="n">
        <f aca="false">R10*S10</f>
        <v>6500</v>
      </c>
      <c r="U10" s="5" t="s">
        <v>147</v>
      </c>
      <c r="V10" s="20" t="str">
        <f aca="false">F10&amp;"-"&amp;G10</f>
        <v>4-3</v>
      </c>
      <c r="W10" s="20" t="str">
        <f aca="false">N10&amp;"-"&amp;O10</f>
        <v>2-3</v>
      </c>
    </row>
    <row r="11" customFormat="false" ht="49.5" hidden="false" customHeight="true" outlineLevel="0" collapsed="false">
      <c r="A11" s="20" t="s">
        <v>148</v>
      </c>
      <c r="B11" s="20" t="s">
        <v>100</v>
      </c>
      <c r="C11" s="20" t="s">
        <v>149</v>
      </c>
      <c r="D11" s="5" t="s">
        <v>150</v>
      </c>
      <c r="E11" s="20" t="s">
        <v>151</v>
      </c>
      <c r="F11" s="21" t="n">
        <v>3</v>
      </c>
      <c r="G11" s="21" t="n">
        <v>5</v>
      </c>
      <c r="H11" s="20" t="n">
        <f aca="false">F11*G11</f>
        <v>15</v>
      </c>
      <c r="I11" s="21" t="str">
        <f aca="false">IF(H11&gt;=20,"Extreme",IF(H11&gt;=10,"High",IF(H11&gt;=5,"Medium","Low")))</f>
        <v>High</v>
      </c>
      <c r="J11" s="20" t="s">
        <v>113</v>
      </c>
      <c r="K11" s="20" t="s">
        <v>105</v>
      </c>
      <c r="L11" s="5" t="s">
        <v>152</v>
      </c>
      <c r="M11" s="5" t="s">
        <v>153</v>
      </c>
      <c r="N11" s="21" t="n">
        <v>2</v>
      </c>
      <c r="O11" s="21" t="n">
        <v>4</v>
      </c>
      <c r="P11" s="20" t="n">
        <f aca="false">N11*O11</f>
        <v>8</v>
      </c>
      <c r="Q11" s="21" t="str">
        <f aca="false">IF(P11&gt;=20,"Extreme",IF(P11&gt;=10,"High",IF(P11&gt;=5,"Medium","Low")))</f>
        <v>Medium</v>
      </c>
      <c r="R11" s="22" t="n">
        <f aca="false">VLOOKUP(F11,ProbTable,4,FALSE())</f>
        <v>0.4</v>
      </c>
      <c r="S11" s="23" t="n">
        <v>15000</v>
      </c>
      <c r="T11" s="23" t="n">
        <f aca="false">R11*S11</f>
        <v>6000</v>
      </c>
      <c r="U11" s="5" t="s">
        <v>124</v>
      </c>
      <c r="V11" s="20" t="str">
        <f aca="false">F11&amp;"-"&amp;G11</f>
        <v>3-5</v>
      </c>
      <c r="W11" s="20" t="str">
        <f aca="false">N11&amp;"-"&amp;O11</f>
        <v>2-4</v>
      </c>
    </row>
    <row r="12" customFormat="false" ht="49.5" hidden="false" customHeight="true" outlineLevel="0" collapsed="false">
      <c r="A12" s="20" t="s">
        <v>154</v>
      </c>
      <c r="B12" s="20" t="s">
        <v>100</v>
      </c>
      <c r="C12" s="20" t="s">
        <v>155</v>
      </c>
      <c r="D12" s="5" t="s">
        <v>156</v>
      </c>
      <c r="E12" s="20" t="s">
        <v>157</v>
      </c>
      <c r="F12" s="21" t="n">
        <v>3</v>
      </c>
      <c r="G12" s="21" t="n">
        <v>3</v>
      </c>
      <c r="H12" s="20" t="n">
        <f aca="false">F12*G12</f>
        <v>9</v>
      </c>
      <c r="I12" s="21" t="str">
        <f aca="false">IF(H12&gt;=20,"Extreme",IF(H12&gt;=10,"High",IF(H12&gt;=5,"Medium","Low")))</f>
        <v>Medium</v>
      </c>
      <c r="J12" s="20" t="s">
        <v>158</v>
      </c>
      <c r="K12" s="20" t="s">
        <v>105</v>
      </c>
      <c r="L12" s="5" t="s">
        <v>159</v>
      </c>
      <c r="M12" s="5" t="s">
        <v>160</v>
      </c>
      <c r="N12" s="21" t="n">
        <v>1</v>
      </c>
      <c r="O12" s="21" t="n">
        <v>3</v>
      </c>
      <c r="P12" s="20" t="n">
        <f aca="false">N12*O12</f>
        <v>3</v>
      </c>
      <c r="Q12" s="21" t="str">
        <f aca="false">IF(P12&gt;=20,"Extreme",IF(P12&gt;=10,"High",IF(P12&gt;=5,"Medium","Low")))</f>
        <v>Low</v>
      </c>
      <c r="R12" s="22" t="n">
        <f aca="false">VLOOKUP(F12,ProbTable,4,FALSE())</f>
        <v>0.4</v>
      </c>
      <c r="S12" s="23" t="n">
        <v>10000</v>
      </c>
      <c r="T12" s="23" t="n">
        <f aca="false">R12*S12</f>
        <v>4000</v>
      </c>
      <c r="U12" s="5" t="s">
        <v>161</v>
      </c>
      <c r="V12" s="20" t="str">
        <f aca="false">F12&amp;"-"&amp;G12</f>
        <v>3-3</v>
      </c>
      <c r="W12" s="20" t="str">
        <f aca="false">N12&amp;"-"&amp;O12</f>
        <v>1-3</v>
      </c>
    </row>
    <row r="13" customFormat="false" ht="49.5" hidden="false" customHeight="true" outlineLevel="0" collapsed="false">
      <c r="A13" s="20" t="s">
        <v>162</v>
      </c>
      <c r="B13" s="20" t="s">
        <v>100</v>
      </c>
      <c r="C13" s="20" t="s">
        <v>163</v>
      </c>
      <c r="D13" s="5" t="s">
        <v>164</v>
      </c>
      <c r="E13" s="20" t="s">
        <v>165</v>
      </c>
      <c r="F13" s="21" t="n">
        <v>3</v>
      </c>
      <c r="G13" s="21" t="n">
        <v>3</v>
      </c>
      <c r="H13" s="20" t="n">
        <f aca="false">F13*G13</f>
        <v>9</v>
      </c>
      <c r="I13" s="21" t="str">
        <f aca="false">IF(H13&gt;=20,"Extreme",IF(H13&gt;=10,"High",IF(H13&gt;=5,"Medium","Low")))</f>
        <v>Medium</v>
      </c>
      <c r="J13" s="20" t="s">
        <v>166</v>
      </c>
      <c r="K13" s="20" t="s">
        <v>105</v>
      </c>
      <c r="L13" s="5" t="s">
        <v>167</v>
      </c>
      <c r="M13" s="5" t="s">
        <v>168</v>
      </c>
      <c r="N13" s="21" t="n">
        <v>2</v>
      </c>
      <c r="O13" s="21" t="n">
        <v>2</v>
      </c>
      <c r="P13" s="20" t="n">
        <f aca="false">N13*O13</f>
        <v>4</v>
      </c>
      <c r="Q13" s="21" t="str">
        <f aca="false">IF(P13&gt;=20,"Extreme",IF(P13&gt;=10,"High",IF(P13&gt;=5,"Medium","Low")))</f>
        <v>Low</v>
      </c>
      <c r="R13" s="22" t="n">
        <f aca="false">VLOOKUP(F13,ProbTable,4,FALSE())</f>
        <v>0.4</v>
      </c>
      <c r="S13" s="23" t="n">
        <v>8000</v>
      </c>
      <c r="T13" s="23" t="n">
        <f aca="false">R13*S13</f>
        <v>3200</v>
      </c>
      <c r="U13" s="5" t="s">
        <v>124</v>
      </c>
      <c r="V13" s="20" t="str">
        <f aca="false">F13&amp;"-"&amp;G13</f>
        <v>3-3</v>
      </c>
      <c r="W13" s="20" t="str">
        <f aca="false">N13&amp;"-"&amp;O13</f>
        <v>2-2</v>
      </c>
    </row>
    <row r="14" customFormat="false" ht="49.5" hidden="false" customHeight="true" outlineLevel="0" collapsed="false">
      <c r="A14" s="20" t="s">
        <v>169</v>
      </c>
      <c r="B14" s="20" t="s">
        <v>100</v>
      </c>
      <c r="C14" s="20" t="s">
        <v>170</v>
      </c>
      <c r="D14" s="5" t="s">
        <v>171</v>
      </c>
      <c r="E14" s="20" t="s">
        <v>172</v>
      </c>
      <c r="F14" s="21" t="n">
        <v>3</v>
      </c>
      <c r="G14" s="21" t="n">
        <v>3</v>
      </c>
      <c r="H14" s="20" t="n">
        <f aca="false">F14*G14</f>
        <v>9</v>
      </c>
      <c r="I14" s="21" t="str">
        <f aca="false">IF(H14&gt;=20,"Extreme",IF(H14&gt;=10,"High",IF(H14&gt;=5,"Medium","Low")))</f>
        <v>Medium</v>
      </c>
      <c r="J14" s="20" t="s">
        <v>173</v>
      </c>
      <c r="K14" s="20" t="s">
        <v>174</v>
      </c>
      <c r="L14" s="5" t="s">
        <v>175</v>
      </c>
      <c r="M14" s="5" t="s">
        <v>176</v>
      </c>
      <c r="N14" s="21" t="n">
        <v>1</v>
      </c>
      <c r="O14" s="21" t="n">
        <v>3</v>
      </c>
      <c r="P14" s="20" t="n">
        <f aca="false">N14*O14</f>
        <v>3</v>
      </c>
      <c r="Q14" s="21" t="str">
        <f aca="false">IF(P14&gt;=20,"Extreme",IF(P14&gt;=10,"High",IF(P14&gt;=5,"Medium","Low")))</f>
        <v>Low</v>
      </c>
      <c r="R14" s="22" t="n">
        <f aca="false">VLOOKUP(F14,ProbTable,4,FALSE())</f>
        <v>0.4</v>
      </c>
      <c r="S14" s="23" t="n">
        <v>10000</v>
      </c>
      <c r="T14" s="23" t="n">
        <f aca="false">R14*S14</f>
        <v>4000</v>
      </c>
      <c r="U14" s="5" t="s">
        <v>177</v>
      </c>
      <c r="V14" s="20" t="str">
        <f aca="false">F14&amp;"-"&amp;G14</f>
        <v>3-3</v>
      </c>
      <c r="W14" s="20" t="str">
        <f aca="false">N14&amp;"-"&amp;O14</f>
        <v>1-3</v>
      </c>
    </row>
    <row r="15" customFormat="false" ht="49.5" hidden="false" customHeight="true" outlineLevel="0" collapsed="false">
      <c r="A15" s="20" t="s">
        <v>178</v>
      </c>
      <c r="B15" s="20" t="s">
        <v>100</v>
      </c>
      <c r="C15" s="20" t="s">
        <v>179</v>
      </c>
      <c r="D15" s="5" t="s">
        <v>180</v>
      </c>
      <c r="E15" s="20" t="s">
        <v>181</v>
      </c>
      <c r="F15" s="21" t="n">
        <v>4</v>
      </c>
      <c r="G15" s="21" t="n">
        <v>3</v>
      </c>
      <c r="H15" s="20" t="n">
        <f aca="false">F15*G15</f>
        <v>12</v>
      </c>
      <c r="I15" s="21" t="str">
        <f aca="false">IF(H15&gt;=20,"Extreme",IF(H15&gt;=10,"High",IF(H15&gt;=5,"Medium","Low")))</f>
        <v>High</v>
      </c>
      <c r="J15" s="20" t="s">
        <v>166</v>
      </c>
      <c r="K15" s="20" t="s">
        <v>105</v>
      </c>
      <c r="L15" s="5" t="s">
        <v>182</v>
      </c>
      <c r="M15" s="5" t="s">
        <v>183</v>
      </c>
      <c r="N15" s="21" t="n">
        <v>2</v>
      </c>
      <c r="O15" s="21" t="n">
        <v>3</v>
      </c>
      <c r="P15" s="20" t="n">
        <f aca="false">N15*O15</f>
        <v>6</v>
      </c>
      <c r="Q15" s="21" t="str">
        <f aca="false">IF(P15&gt;=20,"Extreme",IF(P15&gt;=10,"High",IF(P15&gt;=5,"Medium","Low")))</f>
        <v>Medium</v>
      </c>
      <c r="R15" s="22" t="n">
        <f aca="false">VLOOKUP(F15,ProbTable,4,FALSE())</f>
        <v>0.65</v>
      </c>
      <c r="S15" s="23" t="n">
        <v>8000</v>
      </c>
      <c r="T15" s="23" t="n">
        <f aca="false">R15*S15</f>
        <v>5200</v>
      </c>
      <c r="U15" s="5" t="s">
        <v>124</v>
      </c>
      <c r="V15" s="20" t="str">
        <f aca="false">F15&amp;"-"&amp;G15</f>
        <v>4-3</v>
      </c>
      <c r="W15" s="20" t="str">
        <f aca="false">N15&amp;"-"&amp;O15</f>
        <v>2-3</v>
      </c>
    </row>
    <row r="16" customFormat="false" ht="49.5" hidden="false" customHeight="true" outlineLevel="0" collapsed="false">
      <c r="A16" s="20" t="s">
        <v>184</v>
      </c>
      <c r="B16" s="20" t="s">
        <v>185</v>
      </c>
      <c r="C16" s="20" t="s">
        <v>186</v>
      </c>
      <c r="D16" s="5" t="s">
        <v>187</v>
      </c>
      <c r="E16" s="20" t="s">
        <v>188</v>
      </c>
      <c r="F16" s="21" t="n">
        <v>3</v>
      </c>
      <c r="G16" s="21" t="n">
        <v>3</v>
      </c>
      <c r="H16" s="20" t="n">
        <f aca="false">F16*G16</f>
        <v>9</v>
      </c>
      <c r="I16" s="21" t="str">
        <f aca="false">IF(H16&gt;=20,"Extreme",IF(H16&gt;=10,"High",IF(H16&gt;=5,"Medium","Low")))</f>
        <v>Medium</v>
      </c>
      <c r="J16" s="20" t="s">
        <v>113</v>
      </c>
      <c r="K16" s="20" t="s">
        <v>189</v>
      </c>
      <c r="L16" s="5" t="s">
        <v>190</v>
      </c>
      <c r="M16" s="5" t="s">
        <v>191</v>
      </c>
      <c r="N16" s="21" t="n">
        <v>5</v>
      </c>
      <c r="O16" s="21" t="n">
        <v>3</v>
      </c>
      <c r="P16" s="20" t="n">
        <f aca="false">N16*O16</f>
        <v>15</v>
      </c>
      <c r="Q16" s="21" t="str">
        <f aca="false">IF(P16&gt;=20,"Extreme",IF(P16&gt;=10,"High",IF(P16&gt;=5,"Medium","Low")))</f>
        <v>High</v>
      </c>
      <c r="R16" s="22" t="n">
        <f aca="false">VLOOKUP(F16,ProbTable,4,FALSE())</f>
        <v>0.4</v>
      </c>
      <c r="S16" s="23" t="n">
        <v>-30000</v>
      </c>
      <c r="T16" s="23" t="n">
        <f aca="false">R16*S16</f>
        <v>-12000</v>
      </c>
      <c r="U16" s="5" t="s">
        <v>192</v>
      </c>
      <c r="V16" s="20" t="str">
        <f aca="false">F16&amp;"-"&amp;G16</f>
        <v>3-3</v>
      </c>
      <c r="W16" s="20" t="str">
        <f aca="false">N16&amp;"-"&amp;O16</f>
        <v>5-3</v>
      </c>
    </row>
    <row r="17" customFormat="false" ht="49.5" hidden="false" customHeight="true" outlineLevel="0" collapsed="false">
      <c r="A17" s="20" t="s">
        <v>193</v>
      </c>
      <c r="B17" s="20" t="s">
        <v>100</v>
      </c>
      <c r="C17" s="20" t="s">
        <v>126</v>
      </c>
      <c r="D17" s="5" t="s">
        <v>194</v>
      </c>
      <c r="E17" s="20" t="s">
        <v>195</v>
      </c>
      <c r="F17" s="21" t="n">
        <v>4</v>
      </c>
      <c r="G17" s="21" t="n">
        <v>2</v>
      </c>
      <c r="H17" s="20" t="n">
        <f aca="false">F17*G17</f>
        <v>8</v>
      </c>
      <c r="I17" s="21" t="str">
        <f aca="false">IF(H17&gt;=20,"Extreme",IF(H17&gt;=10,"High",IF(H17&gt;=5,"Medium","Low")))</f>
        <v>Medium</v>
      </c>
      <c r="J17" s="20" t="s">
        <v>129</v>
      </c>
      <c r="K17" s="20" t="s">
        <v>196</v>
      </c>
      <c r="L17" s="5" t="s">
        <v>197</v>
      </c>
      <c r="M17" s="5" t="s">
        <v>198</v>
      </c>
      <c r="N17" s="21" t="n">
        <v>4</v>
      </c>
      <c r="O17" s="21" t="n">
        <v>2</v>
      </c>
      <c r="P17" s="20" t="n">
        <f aca="false">N17*O17</f>
        <v>8</v>
      </c>
      <c r="Q17" s="21" t="str">
        <f aca="false">IF(P17&gt;=20,"Extreme",IF(P17&gt;=10,"High",IF(P17&gt;=5,"Medium","Low")))</f>
        <v>Medium</v>
      </c>
      <c r="R17" s="22" t="n">
        <f aca="false">VLOOKUP(F17,ProbTable,4,FALSE())</f>
        <v>0.65</v>
      </c>
      <c r="S17" s="23" t="n">
        <v>4000</v>
      </c>
      <c r="T17" s="23" t="n">
        <f aca="false">R17*S17</f>
        <v>2600</v>
      </c>
      <c r="U17" s="5" t="s">
        <v>199</v>
      </c>
      <c r="V17" s="20" t="str">
        <f aca="false">F17&amp;"-"&amp;G17</f>
        <v>4-2</v>
      </c>
      <c r="W17" s="20" t="str">
        <f aca="false">N17&amp;"-"&amp;O17</f>
        <v>4-2</v>
      </c>
    </row>
    <row r="19" customFormat="false" ht="15" hidden="false" customHeight="false" outlineLevel="0" collapsed="false">
      <c r="M19" s="6" t="s">
        <v>200</v>
      </c>
      <c r="T19" s="24" t="n">
        <f aca="false">SUMIF(B5:B17,"threat",T5:T17)</f>
        <v>90750</v>
      </c>
    </row>
    <row r="20" customFormat="false" ht="15" hidden="false" customHeight="false" outlineLevel="0" collapsed="false">
      <c r="M20" s="0" t="s">
        <v>201</v>
      </c>
      <c r="T20" s="25" t="n">
        <f aca="false">SUMIF(B5:B17,"opportunity",T5:T17)</f>
        <v>-12000</v>
      </c>
    </row>
    <row r="21" customFormat="false" ht="15" hidden="false" customHeight="false" outlineLevel="0" collapsed="false">
      <c r="M21" s="0" t="s">
        <v>202</v>
      </c>
      <c r="T21" s="0" t="n">
        <f aca="false">COUNTIF(I5:I17,"High")+COUNTIF(I5:I17,"Extreme")</f>
        <v>7</v>
      </c>
    </row>
  </sheetData>
  <conditionalFormatting sqref="I5:I17">
    <cfRule type="cellIs" priority="2" operator="equal" aboveAverage="0" equalAverage="0" bottom="0" percent="0" rank="0" text="" dxfId="0">
      <formula>"Extreme"</formula>
    </cfRule>
    <cfRule type="cellIs" priority="3" operator="equal" aboveAverage="0" equalAverage="0" bottom="0" percent="0" rank="0" text="" dxfId="0">
      <formula>"High"</formula>
    </cfRule>
    <cfRule type="cellIs" priority="4" operator="equal" aboveAverage="0" equalAverage="0" bottom="0" percent="0" rank="0" text="" dxfId="0">
      <formula>"Medium"</formula>
    </cfRule>
    <cfRule type="cellIs" priority="5" operator="equal" aboveAverage="0" equalAverage="0" bottom="0" percent="0" rank="0" text="" dxfId="0">
      <formula>"Low"</formula>
    </cfRule>
  </conditionalFormatting>
  <conditionalFormatting sqref="Q5:Q17">
    <cfRule type="cellIs" priority="6" operator="equal" aboveAverage="0" equalAverage="0" bottom="0" percent="0" rank="0" text="" dxfId="0">
      <formula>"Extreme"</formula>
    </cfRule>
    <cfRule type="cellIs" priority="7" operator="equal" aboveAverage="0" equalAverage="0" bottom="0" percent="0" rank="0" text="" dxfId="0">
      <formula>"High"</formula>
    </cfRule>
    <cfRule type="cellIs" priority="8" operator="equal" aboveAverage="0" equalAverage="0" bottom="0" percent="0" rank="0" text="" dxfId="0">
      <formula>"Medium"</formula>
    </cfRule>
    <cfRule type="cellIs" priority="9" operator="equal" aboveAverage="0" equalAverage="0" bottom="0" percent="0" rank="0" text="" dxfId="0">
      <formula>"Low"</formula>
    </cfRule>
  </conditionalFormatting>
  <dataValidations count="2">
    <dataValidation allowBlank="false" error="Likelihood/impact must be 1–5" errorStyle="stop" errorTitle="1–5 only" operator="between" showDropDown="false" showErrorMessage="true" showInputMessage="false" sqref="F5:G17 N5:O17" type="whole">
      <formula1>1</formula1>
      <formula2>5</formula2>
    </dataValidation>
    <dataValidation allowBlank="false" errorStyle="stop" operator="between" showDropDown="false" showErrorMessage="false" showInputMessage="false" sqref="K5:K17" type="list">
      <formula1>Lookups!$G$5:$G$11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13"/>
  </cols>
  <sheetData>
    <row r="1" customFormat="false" ht="18.55" hidden="false" customHeight="false" outlineLevel="0" collapsed="false">
      <c r="A1" s="19" t="s">
        <v>203</v>
      </c>
    </row>
    <row r="2" customFormat="false" ht="15" hidden="false" customHeight="false" outlineLevel="0" collapsed="false">
      <c r="A2" s="7" t="s">
        <v>204</v>
      </c>
    </row>
    <row r="4" customFormat="false" ht="15" hidden="false" customHeight="false" outlineLevel="0" collapsed="false">
      <c r="A4" s="14" t="s">
        <v>205</v>
      </c>
      <c r="G4" s="14" t="s">
        <v>206</v>
      </c>
    </row>
    <row r="5" customFormat="false" ht="26.85" hidden="false" customHeight="false" outlineLevel="0" collapsed="false">
      <c r="A5" s="26" t="s">
        <v>207</v>
      </c>
      <c r="B5" s="15" t="s">
        <v>208</v>
      </c>
      <c r="C5" s="15" t="s">
        <v>209</v>
      </c>
      <c r="D5" s="15" t="s">
        <v>210</v>
      </c>
      <c r="E5" s="15" t="s">
        <v>211</v>
      </c>
      <c r="F5" s="15" t="s">
        <v>212</v>
      </c>
      <c r="G5" s="26" t="s">
        <v>207</v>
      </c>
      <c r="H5" s="15" t="s">
        <v>208</v>
      </c>
      <c r="I5" s="15" t="s">
        <v>209</v>
      </c>
      <c r="J5" s="15" t="s">
        <v>210</v>
      </c>
      <c r="K5" s="15" t="s">
        <v>211</v>
      </c>
      <c r="L5" s="15" t="s">
        <v>212</v>
      </c>
    </row>
    <row r="6" customFormat="false" ht="43.5" hidden="false" customHeight="true" outlineLevel="0" collapsed="false">
      <c r="A6" s="15" t="s">
        <v>213</v>
      </c>
      <c r="B6" s="27" t="str">
        <f aca="false">IF(COUNTIFS(Risk_Register!$F$5:$F$17,5,Risk_Register!$G$5:$G$17,1)=0,"",COUNTIFS(Risk_Register!$F$5:$F$17,5,Risk_Register!$G$5:$G$17,1)&amp;" · Medium"&amp;CHAR(10)&amp;TRIM(IF(Risk_Register!$V$5="5-1",Risk_Register!$A$5&amp;" ","")&amp;IF(Risk_Register!$V$6="5-1",Risk_Register!$A$6&amp;" ","")&amp;IF(Risk_Register!$V$7="5-1",Risk_Register!$A$7&amp;" ","")&amp;IF(Risk_Register!$V$8="5-1",Risk_Register!$A$8&amp;" ","")&amp;IF(Risk_Register!$V$9="5-1",Risk_Register!$A$9&amp;" ","")&amp;IF(Risk_Register!$V$10="5-1",Risk_Register!$A$10&amp;" ","")&amp;IF(Risk_Register!$V$11="5-1",Risk_Register!$A$11&amp;" ","")&amp;IF(Risk_Register!$V$12="5-1",Risk_Register!$A$12&amp;" ","")&amp;IF(Risk_Register!$V$13="5-1",Risk_Register!$A$13&amp;" ","")&amp;IF(Risk_Register!$V$14="5-1",Risk_Register!$A$14&amp;" ","")&amp;IF(Risk_Register!$V$15="5-1",Risk_Register!$A$15&amp;" ","")&amp;IF(Risk_Register!$V$16="5-1",Risk_Register!$A$16&amp;" ","")&amp;IF(Risk_Register!$V$17="5-1",Risk_Register!$A$17&amp;" ","")))</f>
        <v/>
      </c>
      <c r="C6" s="27" t="str">
        <f aca="false">IF(COUNTIFS(Risk_Register!$F$5:$F$17,5,Risk_Register!$G$5:$G$17,2)=0,"",COUNTIFS(Risk_Register!$F$5:$F$17,5,Risk_Register!$G$5:$G$17,2)&amp;" · High"&amp;CHAR(10)&amp;TRIM(IF(Risk_Register!$V$5="5-2",Risk_Register!$A$5&amp;" ","")&amp;IF(Risk_Register!$V$6="5-2",Risk_Register!$A$6&amp;" ","")&amp;IF(Risk_Register!$V$7="5-2",Risk_Register!$A$7&amp;" ","")&amp;IF(Risk_Register!$V$8="5-2",Risk_Register!$A$8&amp;" ","")&amp;IF(Risk_Register!$V$9="5-2",Risk_Register!$A$9&amp;" ","")&amp;IF(Risk_Register!$V$10="5-2",Risk_Register!$A$10&amp;" ","")&amp;IF(Risk_Register!$V$11="5-2",Risk_Register!$A$11&amp;" ","")&amp;IF(Risk_Register!$V$12="5-2",Risk_Register!$A$12&amp;" ","")&amp;IF(Risk_Register!$V$13="5-2",Risk_Register!$A$13&amp;" ","")&amp;IF(Risk_Register!$V$14="5-2",Risk_Register!$A$14&amp;" ","")&amp;IF(Risk_Register!$V$15="5-2",Risk_Register!$A$15&amp;" ","")&amp;IF(Risk_Register!$V$16="5-2",Risk_Register!$A$16&amp;" ","")&amp;IF(Risk_Register!$V$17="5-2",Risk_Register!$A$17&amp;" ","")))</f>
        <v/>
      </c>
      <c r="D6" s="27" t="str">
        <f aca="false">IF(COUNTIFS(Risk_Register!$F$5:$F$17,5,Risk_Register!$G$5:$G$17,3)=0,"",COUNTIFS(Risk_Register!$F$5:$F$17,5,Risk_Register!$G$5:$G$17,3)&amp;" · High"&amp;CHAR(10)&amp;TRIM(IF(Risk_Register!$V$5="5-3",Risk_Register!$A$5&amp;" ","")&amp;IF(Risk_Register!$V$6="5-3",Risk_Register!$A$6&amp;" ","")&amp;IF(Risk_Register!$V$7="5-3",Risk_Register!$A$7&amp;" ","")&amp;IF(Risk_Register!$V$8="5-3",Risk_Register!$A$8&amp;" ","")&amp;IF(Risk_Register!$V$9="5-3",Risk_Register!$A$9&amp;" ","")&amp;IF(Risk_Register!$V$10="5-3",Risk_Register!$A$10&amp;" ","")&amp;IF(Risk_Register!$V$11="5-3",Risk_Register!$A$11&amp;" ","")&amp;IF(Risk_Register!$V$12="5-3",Risk_Register!$A$12&amp;" ","")&amp;IF(Risk_Register!$V$13="5-3",Risk_Register!$A$13&amp;" ","")&amp;IF(Risk_Register!$V$14="5-3",Risk_Register!$A$14&amp;" ","")&amp;IF(Risk_Register!$V$15="5-3",Risk_Register!$A$15&amp;" ","")&amp;IF(Risk_Register!$V$16="5-3",Risk_Register!$A$16&amp;" ","")&amp;IF(Risk_Register!$V$17="5-3",Risk_Register!$A$17&amp;" ","")))</f>
        <v/>
      </c>
      <c r="E6" s="27" t="str">
        <f aca="false">IF(COUNTIFS(Risk_Register!$F$5:$F$17,5,Risk_Register!$G$5:$G$17,4)=0,"",COUNTIFS(Risk_Register!$F$5:$F$17,5,Risk_Register!$G$5:$G$17,4)&amp;" · Extreme"&amp;CHAR(10)&amp;TRIM(IF(Risk_Register!$V$5="5-4",Risk_Register!$A$5&amp;" ","")&amp;IF(Risk_Register!$V$6="5-4",Risk_Register!$A$6&amp;" ","")&amp;IF(Risk_Register!$V$7="5-4",Risk_Register!$A$7&amp;" ","")&amp;IF(Risk_Register!$V$8="5-4",Risk_Register!$A$8&amp;" ","")&amp;IF(Risk_Register!$V$9="5-4",Risk_Register!$A$9&amp;" ","")&amp;IF(Risk_Register!$V$10="5-4",Risk_Register!$A$10&amp;" ","")&amp;IF(Risk_Register!$V$11="5-4",Risk_Register!$A$11&amp;" ","")&amp;IF(Risk_Register!$V$12="5-4",Risk_Register!$A$12&amp;" ","")&amp;IF(Risk_Register!$V$13="5-4",Risk_Register!$A$13&amp;" ","")&amp;IF(Risk_Register!$V$14="5-4",Risk_Register!$A$14&amp;" ","")&amp;IF(Risk_Register!$V$15="5-4",Risk_Register!$A$15&amp;" ","")&amp;IF(Risk_Register!$V$16="5-4",Risk_Register!$A$16&amp;" ","")&amp;IF(Risk_Register!$V$17="5-4",Risk_Register!$A$17&amp;" ","")))</f>
        <v/>
      </c>
      <c r="F6" s="27" t="str">
        <f aca="false">IF(COUNTIFS(Risk_Register!$F$5:$F$17,5,Risk_Register!$G$5:$G$17,5)=0,"",COUNTIFS(Risk_Register!$F$5:$F$17,5,Risk_Register!$G$5:$G$17,5)&amp;" · Extreme"&amp;CHAR(10)&amp;TRIM(IF(Risk_Register!$V$5="5-5",Risk_Register!$A$5&amp;" ","")&amp;IF(Risk_Register!$V$6="5-5",Risk_Register!$A$6&amp;" ","")&amp;IF(Risk_Register!$V$7="5-5",Risk_Register!$A$7&amp;" ","")&amp;IF(Risk_Register!$V$8="5-5",Risk_Register!$A$8&amp;" ","")&amp;IF(Risk_Register!$V$9="5-5",Risk_Register!$A$9&amp;" ","")&amp;IF(Risk_Register!$V$10="5-5",Risk_Register!$A$10&amp;" ","")&amp;IF(Risk_Register!$V$11="5-5",Risk_Register!$A$11&amp;" ","")&amp;IF(Risk_Register!$V$12="5-5",Risk_Register!$A$12&amp;" ","")&amp;IF(Risk_Register!$V$13="5-5",Risk_Register!$A$13&amp;" ","")&amp;IF(Risk_Register!$V$14="5-5",Risk_Register!$A$14&amp;" ","")&amp;IF(Risk_Register!$V$15="5-5",Risk_Register!$A$15&amp;" ","")&amp;IF(Risk_Register!$V$16="5-5",Risk_Register!$A$16&amp;" ","")&amp;IF(Risk_Register!$V$17="5-5",Risk_Register!$A$17&amp;" ","")))</f>
        <v/>
      </c>
      <c r="G6" s="15" t="s">
        <v>213</v>
      </c>
      <c r="H6" s="27" t="str">
        <f aca="false">IF(COUNTIFS(Risk_Register!$N$5:$N$17,5,Risk_Register!$O$5:$O$17,1)=0,"",COUNTIFS(Risk_Register!$N$5:$N$17,5,Risk_Register!$O$5:$O$17,1)&amp;" · Medium"&amp;CHAR(10)&amp;TRIM(IF(Risk_Register!$W$5="5-1",Risk_Register!$A$5&amp;" ","")&amp;IF(Risk_Register!$W$6="5-1",Risk_Register!$A$6&amp;" ","")&amp;IF(Risk_Register!$W$7="5-1",Risk_Register!$A$7&amp;" ","")&amp;IF(Risk_Register!$W$8="5-1",Risk_Register!$A$8&amp;" ","")&amp;IF(Risk_Register!$W$9="5-1",Risk_Register!$A$9&amp;" ","")&amp;IF(Risk_Register!$W$10="5-1",Risk_Register!$A$10&amp;" ","")&amp;IF(Risk_Register!$W$11="5-1",Risk_Register!$A$11&amp;" ","")&amp;IF(Risk_Register!$W$12="5-1",Risk_Register!$A$12&amp;" ","")&amp;IF(Risk_Register!$W$13="5-1",Risk_Register!$A$13&amp;" ","")&amp;IF(Risk_Register!$W$14="5-1",Risk_Register!$A$14&amp;" ","")&amp;IF(Risk_Register!$W$15="5-1",Risk_Register!$A$15&amp;" ","")&amp;IF(Risk_Register!$W$16="5-1",Risk_Register!$A$16&amp;" ","")&amp;IF(Risk_Register!$W$17="5-1",Risk_Register!$A$17&amp;" ","")))</f>
        <v/>
      </c>
      <c r="I6" s="27" t="str">
        <f aca="false">IF(COUNTIFS(Risk_Register!$N$5:$N$17,5,Risk_Register!$O$5:$O$17,2)=0,"",COUNTIFS(Risk_Register!$N$5:$N$17,5,Risk_Register!$O$5:$O$17,2)&amp;" · High"&amp;CHAR(10)&amp;TRIM(IF(Risk_Register!$W$5="5-2",Risk_Register!$A$5&amp;" ","")&amp;IF(Risk_Register!$W$6="5-2",Risk_Register!$A$6&amp;" ","")&amp;IF(Risk_Register!$W$7="5-2",Risk_Register!$A$7&amp;" ","")&amp;IF(Risk_Register!$W$8="5-2",Risk_Register!$A$8&amp;" ","")&amp;IF(Risk_Register!$W$9="5-2",Risk_Register!$A$9&amp;" ","")&amp;IF(Risk_Register!$W$10="5-2",Risk_Register!$A$10&amp;" ","")&amp;IF(Risk_Register!$W$11="5-2",Risk_Register!$A$11&amp;" ","")&amp;IF(Risk_Register!$W$12="5-2",Risk_Register!$A$12&amp;" ","")&amp;IF(Risk_Register!$W$13="5-2",Risk_Register!$A$13&amp;" ","")&amp;IF(Risk_Register!$W$14="5-2",Risk_Register!$A$14&amp;" ","")&amp;IF(Risk_Register!$W$15="5-2",Risk_Register!$A$15&amp;" ","")&amp;IF(Risk_Register!$W$16="5-2",Risk_Register!$A$16&amp;" ","")&amp;IF(Risk_Register!$W$17="5-2",Risk_Register!$A$17&amp;" ","")))</f>
        <v/>
      </c>
      <c r="J6" s="27" t="str">
        <f aca="false">IF(COUNTIFS(Risk_Register!$N$5:$N$17,5,Risk_Register!$O$5:$O$17,3)=0,"",COUNTIFS(Risk_Register!$N$5:$N$17,5,Risk_Register!$O$5:$O$17,3)&amp;" · High"&amp;CHAR(10)&amp;TRIM(IF(Risk_Register!$W$5="5-3",Risk_Register!$A$5&amp;" ","")&amp;IF(Risk_Register!$W$6="5-3",Risk_Register!$A$6&amp;" ","")&amp;IF(Risk_Register!$W$7="5-3",Risk_Register!$A$7&amp;" ","")&amp;IF(Risk_Register!$W$8="5-3",Risk_Register!$A$8&amp;" ","")&amp;IF(Risk_Register!$W$9="5-3",Risk_Register!$A$9&amp;" ","")&amp;IF(Risk_Register!$W$10="5-3",Risk_Register!$A$10&amp;" ","")&amp;IF(Risk_Register!$W$11="5-3",Risk_Register!$A$11&amp;" ","")&amp;IF(Risk_Register!$W$12="5-3",Risk_Register!$A$12&amp;" ","")&amp;IF(Risk_Register!$W$13="5-3",Risk_Register!$A$13&amp;" ","")&amp;IF(Risk_Register!$W$14="5-3",Risk_Register!$A$14&amp;" ","")&amp;IF(Risk_Register!$W$15="5-3",Risk_Register!$A$15&amp;" ","")&amp;IF(Risk_Register!$W$16="5-3",Risk_Register!$A$16&amp;" ","")&amp;IF(Risk_Register!$W$17="5-3",Risk_Register!$A$17&amp;" ","")))</f>
        <v>1 · High
R12</v>
      </c>
      <c r="K6" s="27" t="str">
        <f aca="false">IF(COUNTIFS(Risk_Register!$N$5:$N$17,5,Risk_Register!$O$5:$O$17,4)=0,"",COUNTIFS(Risk_Register!$N$5:$N$17,5,Risk_Register!$O$5:$O$17,4)&amp;" · Extreme"&amp;CHAR(10)&amp;TRIM(IF(Risk_Register!$W$5="5-4",Risk_Register!$A$5&amp;" ","")&amp;IF(Risk_Register!$W$6="5-4",Risk_Register!$A$6&amp;" ","")&amp;IF(Risk_Register!$W$7="5-4",Risk_Register!$A$7&amp;" ","")&amp;IF(Risk_Register!$W$8="5-4",Risk_Register!$A$8&amp;" ","")&amp;IF(Risk_Register!$W$9="5-4",Risk_Register!$A$9&amp;" ","")&amp;IF(Risk_Register!$W$10="5-4",Risk_Register!$A$10&amp;" ","")&amp;IF(Risk_Register!$W$11="5-4",Risk_Register!$A$11&amp;" ","")&amp;IF(Risk_Register!$W$12="5-4",Risk_Register!$A$12&amp;" ","")&amp;IF(Risk_Register!$W$13="5-4",Risk_Register!$A$13&amp;" ","")&amp;IF(Risk_Register!$W$14="5-4",Risk_Register!$A$14&amp;" ","")&amp;IF(Risk_Register!$W$15="5-4",Risk_Register!$A$15&amp;" ","")&amp;IF(Risk_Register!$W$16="5-4",Risk_Register!$A$16&amp;" ","")&amp;IF(Risk_Register!$W$17="5-4",Risk_Register!$A$17&amp;" ","")))</f>
        <v/>
      </c>
      <c r="L6" s="27" t="str">
        <f aca="false">IF(COUNTIFS(Risk_Register!$N$5:$N$17,5,Risk_Register!$O$5:$O$17,5)=0,"",COUNTIFS(Risk_Register!$N$5:$N$17,5,Risk_Register!$O$5:$O$17,5)&amp;" · Extreme"&amp;CHAR(10)&amp;TRIM(IF(Risk_Register!$W$5="5-5",Risk_Register!$A$5&amp;" ","")&amp;IF(Risk_Register!$W$6="5-5",Risk_Register!$A$6&amp;" ","")&amp;IF(Risk_Register!$W$7="5-5",Risk_Register!$A$7&amp;" ","")&amp;IF(Risk_Register!$W$8="5-5",Risk_Register!$A$8&amp;" ","")&amp;IF(Risk_Register!$W$9="5-5",Risk_Register!$A$9&amp;" ","")&amp;IF(Risk_Register!$W$10="5-5",Risk_Register!$A$10&amp;" ","")&amp;IF(Risk_Register!$W$11="5-5",Risk_Register!$A$11&amp;" ","")&amp;IF(Risk_Register!$W$12="5-5",Risk_Register!$A$12&amp;" ","")&amp;IF(Risk_Register!$W$13="5-5",Risk_Register!$A$13&amp;" ","")&amp;IF(Risk_Register!$W$14="5-5",Risk_Register!$A$14&amp;" ","")&amp;IF(Risk_Register!$W$15="5-5",Risk_Register!$A$15&amp;" ","")&amp;IF(Risk_Register!$W$16="5-5",Risk_Register!$A$16&amp;" ","")&amp;IF(Risk_Register!$W$17="5-5",Risk_Register!$A$17&amp;" ","")))</f>
        <v/>
      </c>
    </row>
    <row r="7" customFormat="false" ht="43.5" hidden="false" customHeight="true" outlineLevel="0" collapsed="false">
      <c r="A7" s="15" t="s">
        <v>214</v>
      </c>
      <c r="B7" s="27" t="str">
        <f aca="false">IF(COUNTIFS(Risk_Register!$F$5:$F$17,4,Risk_Register!$G$5:$G$17,1)=0,"",COUNTIFS(Risk_Register!$F$5:$F$17,4,Risk_Register!$G$5:$G$17,1)&amp;" · Low"&amp;CHAR(10)&amp;TRIM(IF(Risk_Register!$V$5="4-1",Risk_Register!$A$5&amp;" ","")&amp;IF(Risk_Register!$V$6="4-1",Risk_Register!$A$6&amp;" ","")&amp;IF(Risk_Register!$V$7="4-1",Risk_Register!$A$7&amp;" ","")&amp;IF(Risk_Register!$V$8="4-1",Risk_Register!$A$8&amp;" ","")&amp;IF(Risk_Register!$V$9="4-1",Risk_Register!$A$9&amp;" ","")&amp;IF(Risk_Register!$V$10="4-1",Risk_Register!$A$10&amp;" ","")&amp;IF(Risk_Register!$V$11="4-1",Risk_Register!$A$11&amp;" ","")&amp;IF(Risk_Register!$V$12="4-1",Risk_Register!$A$12&amp;" ","")&amp;IF(Risk_Register!$V$13="4-1",Risk_Register!$A$13&amp;" ","")&amp;IF(Risk_Register!$V$14="4-1",Risk_Register!$A$14&amp;" ","")&amp;IF(Risk_Register!$V$15="4-1",Risk_Register!$A$15&amp;" ","")&amp;IF(Risk_Register!$V$16="4-1",Risk_Register!$A$16&amp;" ","")&amp;IF(Risk_Register!$V$17="4-1",Risk_Register!$A$17&amp;" ","")))</f>
        <v/>
      </c>
      <c r="C7" s="27" t="str">
        <f aca="false">IF(COUNTIFS(Risk_Register!$F$5:$F$17,4,Risk_Register!$G$5:$G$17,2)=0,"",COUNTIFS(Risk_Register!$F$5:$F$17,4,Risk_Register!$G$5:$G$17,2)&amp;" · Medium"&amp;CHAR(10)&amp;TRIM(IF(Risk_Register!$V$5="4-2",Risk_Register!$A$5&amp;" ","")&amp;IF(Risk_Register!$V$6="4-2",Risk_Register!$A$6&amp;" ","")&amp;IF(Risk_Register!$V$7="4-2",Risk_Register!$A$7&amp;" ","")&amp;IF(Risk_Register!$V$8="4-2",Risk_Register!$A$8&amp;" ","")&amp;IF(Risk_Register!$V$9="4-2",Risk_Register!$A$9&amp;" ","")&amp;IF(Risk_Register!$V$10="4-2",Risk_Register!$A$10&amp;" ","")&amp;IF(Risk_Register!$V$11="4-2",Risk_Register!$A$11&amp;" ","")&amp;IF(Risk_Register!$V$12="4-2",Risk_Register!$A$12&amp;" ","")&amp;IF(Risk_Register!$V$13="4-2",Risk_Register!$A$13&amp;" ","")&amp;IF(Risk_Register!$V$14="4-2",Risk_Register!$A$14&amp;" ","")&amp;IF(Risk_Register!$V$15="4-2",Risk_Register!$A$15&amp;" ","")&amp;IF(Risk_Register!$V$16="4-2",Risk_Register!$A$16&amp;" ","")&amp;IF(Risk_Register!$V$17="4-2",Risk_Register!$A$17&amp;" ","")))</f>
        <v>1 · Medium
R13</v>
      </c>
      <c r="D7" s="27" t="str">
        <f aca="false">IF(COUNTIFS(Risk_Register!$F$5:$F$17,4,Risk_Register!$G$5:$G$17,3)=0,"",COUNTIFS(Risk_Register!$F$5:$F$17,4,Risk_Register!$G$5:$G$17,3)&amp;" · High"&amp;CHAR(10)&amp;TRIM(IF(Risk_Register!$V$5="4-3",Risk_Register!$A$5&amp;" ","")&amp;IF(Risk_Register!$V$6="4-3",Risk_Register!$A$6&amp;" ","")&amp;IF(Risk_Register!$V$7="4-3",Risk_Register!$A$7&amp;" ","")&amp;IF(Risk_Register!$V$8="4-3",Risk_Register!$A$8&amp;" ","")&amp;IF(Risk_Register!$V$9="4-3",Risk_Register!$A$9&amp;" ","")&amp;IF(Risk_Register!$V$10="4-3",Risk_Register!$A$10&amp;" ","")&amp;IF(Risk_Register!$V$11="4-3",Risk_Register!$A$11&amp;" ","")&amp;IF(Risk_Register!$V$12="4-3",Risk_Register!$A$12&amp;" ","")&amp;IF(Risk_Register!$V$13="4-3",Risk_Register!$A$13&amp;" ","")&amp;IF(Risk_Register!$V$14="4-3",Risk_Register!$A$14&amp;" ","")&amp;IF(Risk_Register!$V$15="4-3",Risk_Register!$A$15&amp;" ","")&amp;IF(Risk_Register!$V$16="4-3",Risk_Register!$A$16&amp;" ","")&amp;IF(Risk_Register!$V$17="4-3",Risk_Register!$A$17&amp;" ","")))</f>
        <v>2 · High
R06 R11</v>
      </c>
      <c r="E7" s="27" t="str">
        <f aca="false">IF(COUNTIFS(Risk_Register!$F$5:$F$17,4,Risk_Register!$G$5:$G$17,4)=0,"",COUNTIFS(Risk_Register!$F$5:$F$17,4,Risk_Register!$G$5:$G$17,4)&amp;" · High"&amp;CHAR(10)&amp;TRIM(IF(Risk_Register!$V$5="4-4",Risk_Register!$A$5&amp;" ","")&amp;IF(Risk_Register!$V$6="4-4",Risk_Register!$A$6&amp;" ","")&amp;IF(Risk_Register!$V$7="4-4",Risk_Register!$A$7&amp;" ","")&amp;IF(Risk_Register!$V$8="4-4",Risk_Register!$A$8&amp;" ","")&amp;IF(Risk_Register!$V$9="4-4",Risk_Register!$A$9&amp;" ","")&amp;IF(Risk_Register!$V$10="4-4",Risk_Register!$A$10&amp;" ","")&amp;IF(Risk_Register!$V$11="4-4",Risk_Register!$A$11&amp;" ","")&amp;IF(Risk_Register!$V$12="4-4",Risk_Register!$A$12&amp;" ","")&amp;IF(Risk_Register!$V$13="4-4",Risk_Register!$A$13&amp;" ","")&amp;IF(Risk_Register!$V$14="4-4",Risk_Register!$A$14&amp;" ","")&amp;IF(Risk_Register!$V$15="4-4",Risk_Register!$A$15&amp;" ","")&amp;IF(Risk_Register!$V$16="4-4",Risk_Register!$A$16&amp;" ","")&amp;IF(Risk_Register!$V$17="4-4",Risk_Register!$A$17&amp;" ","")))</f>
        <v>1 · High
R01</v>
      </c>
      <c r="F7" s="27" t="str">
        <f aca="false">IF(COUNTIFS(Risk_Register!$F$5:$F$17,4,Risk_Register!$G$5:$G$17,5)=0,"",COUNTIFS(Risk_Register!$F$5:$F$17,4,Risk_Register!$G$5:$G$17,5)&amp;" · Extreme"&amp;CHAR(10)&amp;TRIM(IF(Risk_Register!$V$5="4-5",Risk_Register!$A$5&amp;" ","")&amp;IF(Risk_Register!$V$6="4-5",Risk_Register!$A$6&amp;" ","")&amp;IF(Risk_Register!$V$7="4-5",Risk_Register!$A$7&amp;" ","")&amp;IF(Risk_Register!$V$8="4-5",Risk_Register!$A$8&amp;" ","")&amp;IF(Risk_Register!$V$9="4-5",Risk_Register!$A$9&amp;" ","")&amp;IF(Risk_Register!$V$10="4-5",Risk_Register!$A$10&amp;" ","")&amp;IF(Risk_Register!$V$11="4-5",Risk_Register!$A$11&amp;" ","")&amp;IF(Risk_Register!$V$12="4-5",Risk_Register!$A$12&amp;" ","")&amp;IF(Risk_Register!$V$13="4-5",Risk_Register!$A$13&amp;" ","")&amp;IF(Risk_Register!$V$14="4-5",Risk_Register!$A$14&amp;" ","")&amp;IF(Risk_Register!$V$15="4-5",Risk_Register!$A$15&amp;" ","")&amp;IF(Risk_Register!$V$16="4-5",Risk_Register!$A$16&amp;" ","")&amp;IF(Risk_Register!$V$17="4-5",Risk_Register!$A$17&amp;" ","")))</f>
        <v/>
      </c>
      <c r="G7" s="15" t="s">
        <v>214</v>
      </c>
      <c r="H7" s="27" t="str">
        <f aca="false">IF(COUNTIFS(Risk_Register!$N$5:$N$17,4,Risk_Register!$O$5:$O$17,1)=0,"",COUNTIFS(Risk_Register!$N$5:$N$17,4,Risk_Register!$O$5:$O$17,1)&amp;" · Low"&amp;CHAR(10)&amp;TRIM(IF(Risk_Register!$W$5="4-1",Risk_Register!$A$5&amp;" ","")&amp;IF(Risk_Register!$W$6="4-1",Risk_Register!$A$6&amp;" ","")&amp;IF(Risk_Register!$W$7="4-1",Risk_Register!$A$7&amp;" ","")&amp;IF(Risk_Register!$W$8="4-1",Risk_Register!$A$8&amp;" ","")&amp;IF(Risk_Register!$W$9="4-1",Risk_Register!$A$9&amp;" ","")&amp;IF(Risk_Register!$W$10="4-1",Risk_Register!$A$10&amp;" ","")&amp;IF(Risk_Register!$W$11="4-1",Risk_Register!$A$11&amp;" ","")&amp;IF(Risk_Register!$W$12="4-1",Risk_Register!$A$12&amp;" ","")&amp;IF(Risk_Register!$W$13="4-1",Risk_Register!$A$13&amp;" ","")&amp;IF(Risk_Register!$W$14="4-1",Risk_Register!$A$14&amp;" ","")&amp;IF(Risk_Register!$W$15="4-1",Risk_Register!$A$15&amp;" ","")&amp;IF(Risk_Register!$W$16="4-1",Risk_Register!$A$16&amp;" ","")&amp;IF(Risk_Register!$W$17="4-1",Risk_Register!$A$17&amp;" ","")))</f>
        <v/>
      </c>
      <c r="I7" s="27" t="str">
        <f aca="false">IF(COUNTIFS(Risk_Register!$N$5:$N$17,4,Risk_Register!$O$5:$O$17,2)=0,"",COUNTIFS(Risk_Register!$N$5:$N$17,4,Risk_Register!$O$5:$O$17,2)&amp;" · Medium"&amp;CHAR(10)&amp;TRIM(IF(Risk_Register!$W$5="4-2",Risk_Register!$A$5&amp;" ","")&amp;IF(Risk_Register!$W$6="4-2",Risk_Register!$A$6&amp;" ","")&amp;IF(Risk_Register!$W$7="4-2",Risk_Register!$A$7&amp;" ","")&amp;IF(Risk_Register!$W$8="4-2",Risk_Register!$A$8&amp;" ","")&amp;IF(Risk_Register!$W$9="4-2",Risk_Register!$A$9&amp;" ","")&amp;IF(Risk_Register!$W$10="4-2",Risk_Register!$A$10&amp;" ","")&amp;IF(Risk_Register!$W$11="4-2",Risk_Register!$A$11&amp;" ","")&amp;IF(Risk_Register!$W$12="4-2",Risk_Register!$A$12&amp;" ","")&amp;IF(Risk_Register!$W$13="4-2",Risk_Register!$A$13&amp;" ","")&amp;IF(Risk_Register!$W$14="4-2",Risk_Register!$A$14&amp;" ","")&amp;IF(Risk_Register!$W$15="4-2",Risk_Register!$A$15&amp;" ","")&amp;IF(Risk_Register!$W$16="4-2",Risk_Register!$A$16&amp;" ","")&amp;IF(Risk_Register!$W$17="4-2",Risk_Register!$A$17&amp;" ","")))</f>
        <v>1 · Medium
R13</v>
      </c>
      <c r="J7" s="27" t="str">
        <f aca="false">IF(COUNTIFS(Risk_Register!$N$5:$N$17,4,Risk_Register!$O$5:$O$17,3)=0,"",COUNTIFS(Risk_Register!$N$5:$N$17,4,Risk_Register!$O$5:$O$17,3)&amp;" · High"&amp;CHAR(10)&amp;TRIM(IF(Risk_Register!$W$5="4-3",Risk_Register!$A$5&amp;" ","")&amp;IF(Risk_Register!$W$6="4-3",Risk_Register!$A$6&amp;" ","")&amp;IF(Risk_Register!$W$7="4-3",Risk_Register!$A$7&amp;" ","")&amp;IF(Risk_Register!$W$8="4-3",Risk_Register!$A$8&amp;" ","")&amp;IF(Risk_Register!$W$9="4-3",Risk_Register!$A$9&amp;" ","")&amp;IF(Risk_Register!$W$10="4-3",Risk_Register!$A$10&amp;" ","")&amp;IF(Risk_Register!$W$11="4-3",Risk_Register!$A$11&amp;" ","")&amp;IF(Risk_Register!$W$12="4-3",Risk_Register!$A$12&amp;" ","")&amp;IF(Risk_Register!$W$13="4-3",Risk_Register!$A$13&amp;" ","")&amp;IF(Risk_Register!$W$14="4-3",Risk_Register!$A$14&amp;" ","")&amp;IF(Risk_Register!$W$15="4-3",Risk_Register!$A$15&amp;" ","")&amp;IF(Risk_Register!$W$16="4-3",Risk_Register!$A$16&amp;" ","")&amp;IF(Risk_Register!$W$17="4-3",Risk_Register!$A$17&amp;" ","")))</f>
        <v/>
      </c>
      <c r="K7" s="27" t="str">
        <f aca="false">IF(COUNTIFS(Risk_Register!$N$5:$N$17,4,Risk_Register!$O$5:$O$17,4)=0,"",COUNTIFS(Risk_Register!$N$5:$N$17,4,Risk_Register!$O$5:$O$17,4)&amp;" · High"&amp;CHAR(10)&amp;TRIM(IF(Risk_Register!$W$5="4-4",Risk_Register!$A$5&amp;" ","")&amp;IF(Risk_Register!$W$6="4-4",Risk_Register!$A$6&amp;" ","")&amp;IF(Risk_Register!$W$7="4-4",Risk_Register!$A$7&amp;" ","")&amp;IF(Risk_Register!$W$8="4-4",Risk_Register!$A$8&amp;" ","")&amp;IF(Risk_Register!$W$9="4-4",Risk_Register!$A$9&amp;" ","")&amp;IF(Risk_Register!$W$10="4-4",Risk_Register!$A$10&amp;" ","")&amp;IF(Risk_Register!$W$11="4-4",Risk_Register!$A$11&amp;" ","")&amp;IF(Risk_Register!$W$12="4-4",Risk_Register!$A$12&amp;" ","")&amp;IF(Risk_Register!$W$13="4-4",Risk_Register!$A$13&amp;" ","")&amp;IF(Risk_Register!$W$14="4-4",Risk_Register!$A$14&amp;" ","")&amp;IF(Risk_Register!$W$15="4-4",Risk_Register!$A$15&amp;" ","")&amp;IF(Risk_Register!$W$16="4-4",Risk_Register!$A$16&amp;" ","")&amp;IF(Risk_Register!$W$17="4-4",Risk_Register!$A$17&amp;" ","")))</f>
        <v/>
      </c>
      <c r="L7" s="27" t="str">
        <f aca="false">IF(COUNTIFS(Risk_Register!$N$5:$N$17,4,Risk_Register!$O$5:$O$17,5)=0,"",COUNTIFS(Risk_Register!$N$5:$N$17,4,Risk_Register!$O$5:$O$17,5)&amp;" · Extreme"&amp;CHAR(10)&amp;TRIM(IF(Risk_Register!$W$5="4-5",Risk_Register!$A$5&amp;" ","")&amp;IF(Risk_Register!$W$6="4-5",Risk_Register!$A$6&amp;" ","")&amp;IF(Risk_Register!$W$7="4-5",Risk_Register!$A$7&amp;" ","")&amp;IF(Risk_Register!$W$8="4-5",Risk_Register!$A$8&amp;" ","")&amp;IF(Risk_Register!$W$9="4-5",Risk_Register!$A$9&amp;" ","")&amp;IF(Risk_Register!$W$10="4-5",Risk_Register!$A$10&amp;" ","")&amp;IF(Risk_Register!$W$11="4-5",Risk_Register!$A$11&amp;" ","")&amp;IF(Risk_Register!$W$12="4-5",Risk_Register!$A$12&amp;" ","")&amp;IF(Risk_Register!$W$13="4-5",Risk_Register!$A$13&amp;" ","")&amp;IF(Risk_Register!$W$14="4-5",Risk_Register!$A$14&amp;" ","")&amp;IF(Risk_Register!$W$15="4-5",Risk_Register!$A$15&amp;" ","")&amp;IF(Risk_Register!$W$16="4-5",Risk_Register!$A$16&amp;" ","")&amp;IF(Risk_Register!$W$17="4-5",Risk_Register!$A$17&amp;" ","")))</f>
        <v/>
      </c>
    </row>
    <row r="8" customFormat="false" ht="43.5" hidden="false" customHeight="true" outlineLevel="0" collapsed="false">
      <c r="A8" s="15" t="s">
        <v>215</v>
      </c>
      <c r="B8" s="27" t="str">
        <f aca="false">IF(COUNTIFS(Risk_Register!$F$5:$F$17,3,Risk_Register!$G$5:$G$17,1)=0,"",COUNTIFS(Risk_Register!$F$5:$F$17,3,Risk_Register!$G$5:$G$17,1)&amp;" · Low"&amp;CHAR(10)&amp;TRIM(IF(Risk_Register!$V$5="3-1",Risk_Register!$A$5&amp;" ","")&amp;IF(Risk_Register!$V$6="3-1",Risk_Register!$A$6&amp;" ","")&amp;IF(Risk_Register!$V$7="3-1",Risk_Register!$A$7&amp;" ","")&amp;IF(Risk_Register!$V$8="3-1",Risk_Register!$A$8&amp;" ","")&amp;IF(Risk_Register!$V$9="3-1",Risk_Register!$A$9&amp;" ","")&amp;IF(Risk_Register!$V$10="3-1",Risk_Register!$A$10&amp;" ","")&amp;IF(Risk_Register!$V$11="3-1",Risk_Register!$A$11&amp;" ","")&amp;IF(Risk_Register!$V$12="3-1",Risk_Register!$A$12&amp;" ","")&amp;IF(Risk_Register!$V$13="3-1",Risk_Register!$A$13&amp;" ","")&amp;IF(Risk_Register!$V$14="3-1",Risk_Register!$A$14&amp;" ","")&amp;IF(Risk_Register!$V$15="3-1",Risk_Register!$A$15&amp;" ","")&amp;IF(Risk_Register!$V$16="3-1",Risk_Register!$A$16&amp;" ","")&amp;IF(Risk_Register!$V$17="3-1",Risk_Register!$A$17&amp;" ","")))</f>
        <v/>
      </c>
      <c r="C8" s="27" t="str">
        <f aca="false">IF(COUNTIFS(Risk_Register!$F$5:$F$17,3,Risk_Register!$G$5:$G$17,2)=0,"",COUNTIFS(Risk_Register!$F$5:$F$17,3,Risk_Register!$G$5:$G$17,2)&amp;" · Medium"&amp;CHAR(10)&amp;TRIM(IF(Risk_Register!$V$5="3-2",Risk_Register!$A$5&amp;" ","")&amp;IF(Risk_Register!$V$6="3-2",Risk_Register!$A$6&amp;" ","")&amp;IF(Risk_Register!$V$7="3-2",Risk_Register!$A$7&amp;" ","")&amp;IF(Risk_Register!$V$8="3-2",Risk_Register!$A$8&amp;" ","")&amp;IF(Risk_Register!$V$9="3-2",Risk_Register!$A$9&amp;" ","")&amp;IF(Risk_Register!$V$10="3-2",Risk_Register!$A$10&amp;" ","")&amp;IF(Risk_Register!$V$11="3-2",Risk_Register!$A$11&amp;" ","")&amp;IF(Risk_Register!$V$12="3-2",Risk_Register!$A$12&amp;" ","")&amp;IF(Risk_Register!$V$13="3-2",Risk_Register!$A$13&amp;" ","")&amp;IF(Risk_Register!$V$14="3-2",Risk_Register!$A$14&amp;" ","")&amp;IF(Risk_Register!$V$15="3-2",Risk_Register!$A$15&amp;" ","")&amp;IF(Risk_Register!$V$16="3-2",Risk_Register!$A$16&amp;" ","")&amp;IF(Risk_Register!$V$17="3-2",Risk_Register!$A$17&amp;" ","")))</f>
        <v/>
      </c>
      <c r="D8" s="27" t="str">
        <f aca="false">IF(COUNTIFS(Risk_Register!$F$5:$F$17,3,Risk_Register!$G$5:$G$17,3)=0,"",COUNTIFS(Risk_Register!$F$5:$F$17,3,Risk_Register!$G$5:$G$17,3)&amp;" · Medium"&amp;CHAR(10)&amp;TRIM(IF(Risk_Register!$V$5="3-3",Risk_Register!$A$5&amp;" ","")&amp;IF(Risk_Register!$V$6="3-3",Risk_Register!$A$6&amp;" ","")&amp;IF(Risk_Register!$V$7="3-3",Risk_Register!$A$7&amp;" ","")&amp;IF(Risk_Register!$V$8="3-3",Risk_Register!$A$8&amp;" ","")&amp;IF(Risk_Register!$V$9="3-3",Risk_Register!$A$9&amp;" ","")&amp;IF(Risk_Register!$V$10="3-3",Risk_Register!$A$10&amp;" ","")&amp;IF(Risk_Register!$V$11="3-3",Risk_Register!$A$11&amp;" ","")&amp;IF(Risk_Register!$V$12="3-3",Risk_Register!$A$12&amp;" ","")&amp;IF(Risk_Register!$V$13="3-3",Risk_Register!$A$13&amp;" ","")&amp;IF(Risk_Register!$V$14="3-3",Risk_Register!$A$14&amp;" ","")&amp;IF(Risk_Register!$V$15="3-3",Risk_Register!$A$15&amp;" ","")&amp;IF(Risk_Register!$V$16="3-3",Risk_Register!$A$16&amp;" ","")&amp;IF(Risk_Register!$V$17="3-3",Risk_Register!$A$17&amp;" ","")))</f>
        <v>4 · Medium
R08 R09 R10 R12</v>
      </c>
      <c r="E8" s="27" t="str">
        <f aca="false">IF(COUNTIFS(Risk_Register!$F$5:$F$17,3,Risk_Register!$G$5:$G$17,4)=0,"",COUNTIFS(Risk_Register!$F$5:$F$17,3,Risk_Register!$G$5:$G$17,4)&amp;" · High"&amp;CHAR(10)&amp;TRIM(IF(Risk_Register!$V$5="3-4",Risk_Register!$A$5&amp;" ","")&amp;IF(Risk_Register!$V$6="3-4",Risk_Register!$A$6&amp;" ","")&amp;IF(Risk_Register!$V$7="3-4",Risk_Register!$A$7&amp;" ","")&amp;IF(Risk_Register!$V$8="3-4",Risk_Register!$A$8&amp;" ","")&amp;IF(Risk_Register!$V$9="3-4",Risk_Register!$A$9&amp;" ","")&amp;IF(Risk_Register!$V$10="3-4",Risk_Register!$A$10&amp;" ","")&amp;IF(Risk_Register!$V$11="3-4",Risk_Register!$A$11&amp;" ","")&amp;IF(Risk_Register!$V$12="3-4",Risk_Register!$A$12&amp;" ","")&amp;IF(Risk_Register!$V$13="3-4",Risk_Register!$A$13&amp;" ","")&amp;IF(Risk_Register!$V$14="3-4",Risk_Register!$A$14&amp;" ","")&amp;IF(Risk_Register!$V$15="3-4",Risk_Register!$A$15&amp;" ","")&amp;IF(Risk_Register!$V$16="3-4",Risk_Register!$A$16&amp;" ","")&amp;IF(Risk_Register!$V$17="3-4",Risk_Register!$A$17&amp;" ","")))</f>
        <v>2 · High
R02 R04</v>
      </c>
      <c r="F8" s="27" t="str">
        <f aca="false">IF(COUNTIFS(Risk_Register!$F$5:$F$17,3,Risk_Register!$G$5:$G$17,5)=0,"",COUNTIFS(Risk_Register!$F$5:$F$17,3,Risk_Register!$G$5:$G$17,5)&amp;" · High"&amp;CHAR(10)&amp;TRIM(IF(Risk_Register!$V$5="3-5",Risk_Register!$A$5&amp;" ","")&amp;IF(Risk_Register!$V$6="3-5",Risk_Register!$A$6&amp;" ","")&amp;IF(Risk_Register!$V$7="3-5",Risk_Register!$A$7&amp;" ","")&amp;IF(Risk_Register!$V$8="3-5",Risk_Register!$A$8&amp;" ","")&amp;IF(Risk_Register!$V$9="3-5",Risk_Register!$A$9&amp;" ","")&amp;IF(Risk_Register!$V$10="3-5",Risk_Register!$A$10&amp;" ","")&amp;IF(Risk_Register!$V$11="3-5",Risk_Register!$A$11&amp;" ","")&amp;IF(Risk_Register!$V$12="3-5",Risk_Register!$A$12&amp;" ","")&amp;IF(Risk_Register!$V$13="3-5",Risk_Register!$A$13&amp;" ","")&amp;IF(Risk_Register!$V$14="3-5",Risk_Register!$A$14&amp;" ","")&amp;IF(Risk_Register!$V$15="3-5",Risk_Register!$A$15&amp;" ","")&amp;IF(Risk_Register!$V$16="3-5",Risk_Register!$A$16&amp;" ","")&amp;IF(Risk_Register!$V$17="3-5",Risk_Register!$A$17&amp;" ","")))</f>
        <v>1 · High
R07</v>
      </c>
      <c r="G8" s="15" t="s">
        <v>215</v>
      </c>
      <c r="H8" s="27" t="str">
        <f aca="false">IF(COUNTIFS(Risk_Register!$N$5:$N$17,3,Risk_Register!$O$5:$O$17,1)=0,"",COUNTIFS(Risk_Register!$N$5:$N$17,3,Risk_Register!$O$5:$O$17,1)&amp;" · Low"&amp;CHAR(10)&amp;TRIM(IF(Risk_Register!$W$5="3-1",Risk_Register!$A$5&amp;" ","")&amp;IF(Risk_Register!$W$6="3-1",Risk_Register!$A$6&amp;" ","")&amp;IF(Risk_Register!$W$7="3-1",Risk_Register!$A$7&amp;" ","")&amp;IF(Risk_Register!$W$8="3-1",Risk_Register!$A$8&amp;" ","")&amp;IF(Risk_Register!$W$9="3-1",Risk_Register!$A$9&amp;" ","")&amp;IF(Risk_Register!$W$10="3-1",Risk_Register!$A$10&amp;" ","")&amp;IF(Risk_Register!$W$11="3-1",Risk_Register!$A$11&amp;" ","")&amp;IF(Risk_Register!$W$12="3-1",Risk_Register!$A$12&amp;" ","")&amp;IF(Risk_Register!$W$13="3-1",Risk_Register!$A$13&amp;" ","")&amp;IF(Risk_Register!$W$14="3-1",Risk_Register!$A$14&amp;" ","")&amp;IF(Risk_Register!$W$15="3-1",Risk_Register!$A$15&amp;" ","")&amp;IF(Risk_Register!$W$16="3-1",Risk_Register!$A$16&amp;" ","")&amp;IF(Risk_Register!$W$17="3-1",Risk_Register!$A$17&amp;" ","")))</f>
        <v/>
      </c>
      <c r="I8" s="27" t="str">
        <f aca="false">IF(COUNTIFS(Risk_Register!$N$5:$N$17,3,Risk_Register!$O$5:$O$17,2)=0,"",COUNTIFS(Risk_Register!$N$5:$N$17,3,Risk_Register!$O$5:$O$17,2)&amp;" · Medium"&amp;CHAR(10)&amp;TRIM(IF(Risk_Register!$W$5="3-2",Risk_Register!$A$5&amp;" ","")&amp;IF(Risk_Register!$W$6="3-2",Risk_Register!$A$6&amp;" ","")&amp;IF(Risk_Register!$W$7="3-2",Risk_Register!$A$7&amp;" ","")&amp;IF(Risk_Register!$W$8="3-2",Risk_Register!$A$8&amp;" ","")&amp;IF(Risk_Register!$W$9="3-2",Risk_Register!$A$9&amp;" ","")&amp;IF(Risk_Register!$W$10="3-2",Risk_Register!$A$10&amp;" ","")&amp;IF(Risk_Register!$W$11="3-2",Risk_Register!$A$11&amp;" ","")&amp;IF(Risk_Register!$W$12="3-2",Risk_Register!$A$12&amp;" ","")&amp;IF(Risk_Register!$W$13="3-2",Risk_Register!$A$13&amp;" ","")&amp;IF(Risk_Register!$W$14="3-2",Risk_Register!$A$14&amp;" ","")&amp;IF(Risk_Register!$W$15="3-2",Risk_Register!$A$15&amp;" ","")&amp;IF(Risk_Register!$W$16="3-2",Risk_Register!$A$16&amp;" ","")&amp;IF(Risk_Register!$W$17="3-2",Risk_Register!$A$17&amp;" ","")))</f>
        <v/>
      </c>
      <c r="J8" s="27" t="str">
        <f aca="false">IF(COUNTIFS(Risk_Register!$N$5:$N$17,3,Risk_Register!$O$5:$O$17,3)=0,"",COUNTIFS(Risk_Register!$N$5:$N$17,3,Risk_Register!$O$5:$O$17,3)&amp;" · Medium"&amp;CHAR(10)&amp;TRIM(IF(Risk_Register!$W$5="3-3",Risk_Register!$A$5&amp;" ","")&amp;IF(Risk_Register!$W$6="3-3",Risk_Register!$A$6&amp;" ","")&amp;IF(Risk_Register!$W$7="3-3",Risk_Register!$A$7&amp;" ","")&amp;IF(Risk_Register!$W$8="3-3",Risk_Register!$A$8&amp;" ","")&amp;IF(Risk_Register!$W$9="3-3",Risk_Register!$A$9&amp;" ","")&amp;IF(Risk_Register!$W$10="3-3",Risk_Register!$A$10&amp;" ","")&amp;IF(Risk_Register!$W$11="3-3",Risk_Register!$A$11&amp;" ","")&amp;IF(Risk_Register!$W$12="3-3",Risk_Register!$A$12&amp;" ","")&amp;IF(Risk_Register!$W$13="3-3",Risk_Register!$A$13&amp;" ","")&amp;IF(Risk_Register!$W$14="3-3",Risk_Register!$A$14&amp;" ","")&amp;IF(Risk_Register!$W$15="3-3",Risk_Register!$A$15&amp;" ","")&amp;IF(Risk_Register!$W$16="3-3",Risk_Register!$A$16&amp;" ","")&amp;IF(Risk_Register!$W$17="3-3",Risk_Register!$A$17&amp;" ","")))</f>
        <v/>
      </c>
      <c r="K8" s="27" t="str">
        <f aca="false">IF(COUNTIFS(Risk_Register!$N$5:$N$17,3,Risk_Register!$O$5:$O$17,4)=0,"",COUNTIFS(Risk_Register!$N$5:$N$17,3,Risk_Register!$O$5:$O$17,4)&amp;" · High"&amp;CHAR(10)&amp;TRIM(IF(Risk_Register!$W$5="3-4",Risk_Register!$A$5&amp;" ","")&amp;IF(Risk_Register!$W$6="3-4",Risk_Register!$A$6&amp;" ","")&amp;IF(Risk_Register!$W$7="3-4",Risk_Register!$A$7&amp;" ","")&amp;IF(Risk_Register!$W$8="3-4",Risk_Register!$A$8&amp;" ","")&amp;IF(Risk_Register!$W$9="3-4",Risk_Register!$A$9&amp;" ","")&amp;IF(Risk_Register!$W$10="3-4",Risk_Register!$A$10&amp;" ","")&amp;IF(Risk_Register!$W$11="3-4",Risk_Register!$A$11&amp;" ","")&amp;IF(Risk_Register!$W$12="3-4",Risk_Register!$A$12&amp;" ","")&amp;IF(Risk_Register!$W$13="3-4",Risk_Register!$A$13&amp;" ","")&amp;IF(Risk_Register!$W$14="3-4",Risk_Register!$A$14&amp;" ","")&amp;IF(Risk_Register!$W$15="3-4",Risk_Register!$A$15&amp;" ","")&amp;IF(Risk_Register!$W$16="3-4",Risk_Register!$A$16&amp;" ","")&amp;IF(Risk_Register!$W$17="3-4",Risk_Register!$A$17&amp;" ","")))</f>
        <v/>
      </c>
      <c r="L8" s="27" t="str">
        <f aca="false">IF(COUNTIFS(Risk_Register!$N$5:$N$17,3,Risk_Register!$O$5:$O$17,5)=0,"",COUNTIFS(Risk_Register!$N$5:$N$17,3,Risk_Register!$O$5:$O$17,5)&amp;" · High"&amp;CHAR(10)&amp;TRIM(IF(Risk_Register!$W$5="3-5",Risk_Register!$A$5&amp;" ","")&amp;IF(Risk_Register!$W$6="3-5",Risk_Register!$A$6&amp;" ","")&amp;IF(Risk_Register!$W$7="3-5",Risk_Register!$A$7&amp;" ","")&amp;IF(Risk_Register!$W$8="3-5",Risk_Register!$A$8&amp;" ","")&amp;IF(Risk_Register!$W$9="3-5",Risk_Register!$A$9&amp;" ","")&amp;IF(Risk_Register!$W$10="3-5",Risk_Register!$A$10&amp;" ","")&amp;IF(Risk_Register!$W$11="3-5",Risk_Register!$A$11&amp;" ","")&amp;IF(Risk_Register!$W$12="3-5",Risk_Register!$A$12&amp;" ","")&amp;IF(Risk_Register!$W$13="3-5",Risk_Register!$A$13&amp;" ","")&amp;IF(Risk_Register!$W$14="3-5",Risk_Register!$A$14&amp;" ","")&amp;IF(Risk_Register!$W$15="3-5",Risk_Register!$A$15&amp;" ","")&amp;IF(Risk_Register!$W$16="3-5",Risk_Register!$A$16&amp;" ","")&amp;IF(Risk_Register!$W$17="3-5",Risk_Register!$A$17&amp;" ","")))</f>
        <v/>
      </c>
    </row>
    <row r="9" customFormat="false" ht="43.5" hidden="false" customHeight="true" outlineLevel="0" collapsed="false">
      <c r="A9" s="15" t="s">
        <v>216</v>
      </c>
      <c r="B9" s="27" t="str">
        <f aca="false">IF(COUNTIFS(Risk_Register!$F$5:$F$17,2,Risk_Register!$G$5:$G$17,1)=0,"",COUNTIFS(Risk_Register!$F$5:$F$17,2,Risk_Register!$G$5:$G$17,1)&amp;" · Low"&amp;CHAR(10)&amp;TRIM(IF(Risk_Register!$V$5="2-1",Risk_Register!$A$5&amp;" ","")&amp;IF(Risk_Register!$V$6="2-1",Risk_Register!$A$6&amp;" ","")&amp;IF(Risk_Register!$V$7="2-1",Risk_Register!$A$7&amp;" ","")&amp;IF(Risk_Register!$V$8="2-1",Risk_Register!$A$8&amp;" ","")&amp;IF(Risk_Register!$V$9="2-1",Risk_Register!$A$9&amp;" ","")&amp;IF(Risk_Register!$V$10="2-1",Risk_Register!$A$10&amp;" ","")&amp;IF(Risk_Register!$V$11="2-1",Risk_Register!$A$11&amp;" ","")&amp;IF(Risk_Register!$V$12="2-1",Risk_Register!$A$12&amp;" ","")&amp;IF(Risk_Register!$V$13="2-1",Risk_Register!$A$13&amp;" ","")&amp;IF(Risk_Register!$V$14="2-1",Risk_Register!$A$14&amp;" ","")&amp;IF(Risk_Register!$V$15="2-1",Risk_Register!$A$15&amp;" ","")&amp;IF(Risk_Register!$V$16="2-1",Risk_Register!$A$16&amp;" ","")&amp;IF(Risk_Register!$V$17="2-1",Risk_Register!$A$17&amp;" ","")))</f>
        <v/>
      </c>
      <c r="C9" s="27" t="str">
        <f aca="false">IF(COUNTIFS(Risk_Register!$F$5:$F$17,2,Risk_Register!$G$5:$G$17,2)=0,"",COUNTIFS(Risk_Register!$F$5:$F$17,2,Risk_Register!$G$5:$G$17,2)&amp;" · Low"&amp;CHAR(10)&amp;TRIM(IF(Risk_Register!$V$5="2-2",Risk_Register!$A$5&amp;" ","")&amp;IF(Risk_Register!$V$6="2-2",Risk_Register!$A$6&amp;" ","")&amp;IF(Risk_Register!$V$7="2-2",Risk_Register!$A$7&amp;" ","")&amp;IF(Risk_Register!$V$8="2-2",Risk_Register!$A$8&amp;" ","")&amp;IF(Risk_Register!$V$9="2-2",Risk_Register!$A$9&amp;" ","")&amp;IF(Risk_Register!$V$10="2-2",Risk_Register!$A$10&amp;" ","")&amp;IF(Risk_Register!$V$11="2-2",Risk_Register!$A$11&amp;" ","")&amp;IF(Risk_Register!$V$12="2-2",Risk_Register!$A$12&amp;" ","")&amp;IF(Risk_Register!$V$13="2-2",Risk_Register!$A$13&amp;" ","")&amp;IF(Risk_Register!$V$14="2-2",Risk_Register!$A$14&amp;" ","")&amp;IF(Risk_Register!$V$15="2-2",Risk_Register!$A$15&amp;" ","")&amp;IF(Risk_Register!$V$16="2-2",Risk_Register!$A$16&amp;" ","")&amp;IF(Risk_Register!$V$17="2-2",Risk_Register!$A$17&amp;" ","")))</f>
        <v/>
      </c>
      <c r="D9" s="27" t="str">
        <f aca="false">IF(COUNTIFS(Risk_Register!$F$5:$F$17,2,Risk_Register!$G$5:$G$17,3)=0,"",COUNTIFS(Risk_Register!$F$5:$F$17,2,Risk_Register!$G$5:$G$17,3)&amp;" · Medium"&amp;CHAR(10)&amp;TRIM(IF(Risk_Register!$V$5="2-3",Risk_Register!$A$5&amp;" ","")&amp;IF(Risk_Register!$V$6="2-3",Risk_Register!$A$6&amp;" ","")&amp;IF(Risk_Register!$V$7="2-3",Risk_Register!$A$7&amp;" ","")&amp;IF(Risk_Register!$V$8="2-3",Risk_Register!$A$8&amp;" ","")&amp;IF(Risk_Register!$V$9="2-3",Risk_Register!$A$9&amp;" ","")&amp;IF(Risk_Register!$V$10="2-3",Risk_Register!$A$10&amp;" ","")&amp;IF(Risk_Register!$V$11="2-3",Risk_Register!$A$11&amp;" ","")&amp;IF(Risk_Register!$V$12="2-3",Risk_Register!$A$12&amp;" ","")&amp;IF(Risk_Register!$V$13="2-3",Risk_Register!$A$13&amp;" ","")&amp;IF(Risk_Register!$V$14="2-3",Risk_Register!$A$14&amp;" ","")&amp;IF(Risk_Register!$V$15="2-3",Risk_Register!$A$15&amp;" ","")&amp;IF(Risk_Register!$V$16="2-3",Risk_Register!$A$16&amp;" ","")&amp;IF(Risk_Register!$V$17="2-3",Risk_Register!$A$17&amp;" ","")))</f>
        <v>1 · Medium
R05</v>
      </c>
      <c r="E9" s="27" t="str">
        <f aca="false">IF(COUNTIFS(Risk_Register!$F$5:$F$17,2,Risk_Register!$G$5:$G$17,4)=0,"",COUNTIFS(Risk_Register!$F$5:$F$17,2,Risk_Register!$G$5:$G$17,4)&amp;" · Medium"&amp;CHAR(10)&amp;TRIM(IF(Risk_Register!$V$5="2-4",Risk_Register!$A$5&amp;" ","")&amp;IF(Risk_Register!$V$6="2-4",Risk_Register!$A$6&amp;" ","")&amp;IF(Risk_Register!$V$7="2-4",Risk_Register!$A$7&amp;" ","")&amp;IF(Risk_Register!$V$8="2-4",Risk_Register!$A$8&amp;" ","")&amp;IF(Risk_Register!$V$9="2-4",Risk_Register!$A$9&amp;" ","")&amp;IF(Risk_Register!$V$10="2-4",Risk_Register!$A$10&amp;" ","")&amp;IF(Risk_Register!$V$11="2-4",Risk_Register!$A$11&amp;" ","")&amp;IF(Risk_Register!$V$12="2-4",Risk_Register!$A$12&amp;" ","")&amp;IF(Risk_Register!$V$13="2-4",Risk_Register!$A$13&amp;" ","")&amp;IF(Risk_Register!$V$14="2-4",Risk_Register!$A$14&amp;" ","")&amp;IF(Risk_Register!$V$15="2-4",Risk_Register!$A$15&amp;" ","")&amp;IF(Risk_Register!$V$16="2-4",Risk_Register!$A$16&amp;" ","")&amp;IF(Risk_Register!$V$17="2-4",Risk_Register!$A$17&amp;" ","")))</f>
        <v/>
      </c>
      <c r="F9" s="27" t="str">
        <f aca="false">IF(COUNTIFS(Risk_Register!$F$5:$F$17,2,Risk_Register!$G$5:$G$17,5)=0,"",COUNTIFS(Risk_Register!$F$5:$F$17,2,Risk_Register!$G$5:$G$17,5)&amp;" · High"&amp;CHAR(10)&amp;TRIM(IF(Risk_Register!$V$5="2-5",Risk_Register!$A$5&amp;" ","")&amp;IF(Risk_Register!$V$6="2-5",Risk_Register!$A$6&amp;" ","")&amp;IF(Risk_Register!$V$7="2-5",Risk_Register!$A$7&amp;" ","")&amp;IF(Risk_Register!$V$8="2-5",Risk_Register!$A$8&amp;" ","")&amp;IF(Risk_Register!$V$9="2-5",Risk_Register!$A$9&amp;" ","")&amp;IF(Risk_Register!$V$10="2-5",Risk_Register!$A$10&amp;" ","")&amp;IF(Risk_Register!$V$11="2-5",Risk_Register!$A$11&amp;" ","")&amp;IF(Risk_Register!$V$12="2-5",Risk_Register!$A$12&amp;" ","")&amp;IF(Risk_Register!$V$13="2-5",Risk_Register!$A$13&amp;" ","")&amp;IF(Risk_Register!$V$14="2-5",Risk_Register!$A$14&amp;" ","")&amp;IF(Risk_Register!$V$15="2-5",Risk_Register!$A$15&amp;" ","")&amp;IF(Risk_Register!$V$16="2-5",Risk_Register!$A$16&amp;" ","")&amp;IF(Risk_Register!$V$17="2-5",Risk_Register!$A$17&amp;" ","")))</f>
        <v>1 · High
R03</v>
      </c>
      <c r="G9" s="15" t="s">
        <v>216</v>
      </c>
      <c r="H9" s="27" t="str">
        <f aca="false">IF(COUNTIFS(Risk_Register!$N$5:$N$17,2,Risk_Register!$O$5:$O$17,1)=0,"",COUNTIFS(Risk_Register!$N$5:$N$17,2,Risk_Register!$O$5:$O$17,1)&amp;" · Low"&amp;CHAR(10)&amp;TRIM(IF(Risk_Register!$W$5="2-1",Risk_Register!$A$5&amp;" ","")&amp;IF(Risk_Register!$W$6="2-1",Risk_Register!$A$6&amp;" ","")&amp;IF(Risk_Register!$W$7="2-1",Risk_Register!$A$7&amp;" ","")&amp;IF(Risk_Register!$W$8="2-1",Risk_Register!$A$8&amp;" ","")&amp;IF(Risk_Register!$W$9="2-1",Risk_Register!$A$9&amp;" ","")&amp;IF(Risk_Register!$W$10="2-1",Risk_Register!$A$10&amp;" ","")&amp;IF(Risk_Register!$W$11="2-1",Risk_Register!$A$11&amp;" ","")&amp;IF(Risk_Register!$W$12="2-1",Risk_Register!$A$12&amp;" ","")&amp;IF(Risk_Register!$W$13="2-1",Risk_Register!$A$13&amp;" ","")&amp;IF(Risk_Register!$W$14="2-1",Risk_Register!$A$14&amp;" ","")&amp;IF(Risk_Register!$W$15="2-1",Risk_Register!$A$15&amp;" ","")&amp;IF(Risk_Register!$W$16="2-1",Risk_Register!$A$16&amp;" ","")&amp;IF(Risk_Register!$W$17="2-1",Risk_Register!$A$17&amp;" ","")))</f>
        <v/>
      </c>
      <c r="I9" s="27" t="str">
        <f aca="false">IF(COUNTIFS(Risk_Register!$N$5:$N$17,2,Risk_Register!$O$5:$O$17,2)=0,"",COUNTIFS(Risk_Register!$N$5:$N$17,2,Risk_Register!$O$5:$O$17,2)&amp;" · Low"&amp;CHAR(10)&amp;TRIM(IF(Risk_Register!$W$5="2-2",Risk_Register!$A$5&amp;" ","")&amp;IF(Risk_Register!$W$6="2-2",Risk_Register!$A$6&amp;" ","")&amp;IF(Risk_Register!$W$7="2-2",Risk_Register!$A$7&amp;" ","")&amp;IF(Risk_Register!$W$8="2-2",Risk_Register!$A$8&amp;" ","")&amp;IF(Risk_Register!$W$9="2-2",Risk_Register!$A$9&amp;" ","")&amp;IF(Risk_Register!$W$10="2-2",Risk_Register!$A$10&amp;" ","")&amp;IF(Risk_Register!$W$11="2-2",Risk_Register!$A$11&amp;" ","")&amp;IF(Risk_Register!$W$12="2-2",Risk_Register!$A$12&amp;" ","")&amp;IF(Risk_Register!$W$13="2-2",Risk_Register!$A$13&amp;" ","")&amp;IF(Risk_Register!$W$14="2-2",Risk_Register!$A$14&amp;" ","")&amp;IF(Risk_Register!$W$15="2-2",Risk_Register!$A$15&amp;" ","")&amp;IF(Risk_Register!$W$16="2-2",Risk_Register!$A$16&amp;" ","")&amp;IF(Risk_Register!$W$17="2-2",Risk_Register!$A$17&amp;" ","")))</f>
        <v>2 · Low
R05 R09</v>
      </c>
      <c r="J9" s="27" t="str">
        <f aca="false">IF(COUNTIFS(Risk_Register!$N$5:$N$17,2,Risk_Register!$O$5:$O$17,3)=0,"",COUNTIFS(Risk_Register!$N$5:$N$17,2,Risk_Register!$O$5:$O$17,3)&amp;" · Medium"&amp;CHAR(10)&amp;TRIM(IF(Risk_Register!$W$5="2-3",Risk_Register!$A$5&amp;" ","")&amp;IF(Risk_Register!$W$6="2-3",Risk_Register!$A$6&amp;" ","")&amp;IF(Risk_Register!$W$7="2-3",Risk_Register!$A$7&amp;" ","")&amp;IF(Risk_Register!$W$8="2-3",Risk_Register!$A$8&amp;" ","")&amp;IF(Risk_Register!$W$9="2-3",Risk_Register!$A$9&amp;" ","")&amp;IF(Risk_Register!$W$10="2-3",Risk_Register!$A$10&amp;" ","")&amp;IF(Risk_Register!$W$11="2-3",Risk_Register!$A$11&amp;" ","")&amp;IF(Risk_Register!$W$12="2-3",Risk_Register!$A$12&amp;" ","")&amp;IF(Risk_Register!$W$13="2-3",Risk_Register!$A$13&amp;" ","")&amp;IF(Risk_Register!$W$14="2-3",Risk_Register!$A$14&amp;" ","")&amp;IF(Risk_Register!$W$15="2-3",Risk_Register!$A$15&amp;" ","")&amp;IF(Risk_Register!$W$16="2-3",Risk_Register!$A$16&amp;" ","")&amp;IF(Risk_Register!$W$17="2-3",Risk_Register!$A$17&amp;" ","")))</f>
        <v>4 · Medium
R01 R02 R06 R11</v>
      </c>
      <c r="K9" s="27" t="str">
        <f aca="false">IF(COUNTIFS(Risk_Register!$N$5:$N$17,2,Risk_Register!$O$5:$O$17,4)=0,"",COUNTIFS(Risk_Register!$N$5:$N$17,2,Risk_Register!$O$5:$O$17,4)&amp;" · Medium"&amp;CHAR(10)&amp;TRIM(IF(Risk_Register!$W$5="2-4",Risk_Register!$A$5&amp;" ","")&amp;IF(Risk_Register!$W$6="2-4",Risk_Register!$A$6&amp;" ","")&amp;IF(Risk_Register!$W$7="2-4",Risk_Register!$A$7&amp;" ","")&amp;IF(Risk_Register!$W$8="2-4",Risk_Register!$A$8&amp;" ","")&amp;IF(Risk_Register!$W$9="2-4",Risk_Register!$A$9&amp;" ","")&amp;IF(Risk_Register!$W$10="2-4",Risk_Register!$A$10&amp;" ","")&amp;IF(Risk_Register!$W$11="2-4",Risk_Register!$A$11&amp;" ","")&amp;IF(Risk_Register!$W$12="2-4",Risk_Register!$A$12&amp;" ","")&amp;IF(Risk_Register!$W$13="2-4",Risk_Register!$A$13&amp;" ","")&amp;IF(Risk_Register!$W$14="2-4",Risk_Register!$A$14&amp;" ","")&amp;IF(Risk_Register!$W$15="2-4",Risk_Register!$A$15&amp;" ","")&amp;IF(Risk_Register!$W$16="2-4",Risk_Register!$A$16&amp;" ","")&amp;IF(Risk_Register!$W$17="2-4",Risk_Register!$A$17&amp;" ","")))</f>
        <v>1 · Medium
R07</v>
      </c>
      <c r="L9" s="27" t="str">
        <f aca="false">IF(COUNTIFS(Risk_Register!$N$5:$N$17,2,Risk_Register!$O$5:$O$17,5)=0,"",COUNTIFS(Risk_Register!$N$5:$N$17,2,Risk_Register!$O$5:$O$17,5)&amp;" · High"&amp;CHAR(10)&amp;TRIM(IF(Risk_Register!$W$5="2-5",Risk_Register!$A$5&amp;" ","")&amp;IF(Risk_Register!$W$6="2-5",Risk_Register!$A$6&amp;" ","")&amp;IF(Risk_Register!$W$7="2-5",Risk_Register!$A$7&amp;" ","")&amp;IF(Risk_Register!$W$8="2-5",Risk_Register!$A$8&amp;" ","")&amp;IF(Risk_Register!$W$9="2-5",Risk_Register!$A$9&amp;" ","")&amp;IF(Risk_Register!$W$10="2-5",Risk_Register!$A$10&amp;" ","")&amp;IF(Risk_Register!$W$11="2-5",Risk_Register!$A$11&amp;" ","")&amp;IF(Risk_Register!$W$12="2-5",Risk_Register!$A$12&amp;" ","")&amp;IF(Risk_Register!$W$13="2-5",Risk_Register!$A$13&amp;" ","")&amp;IF(Risk_Register!$W$14="2-5",Risk_Register!$A$14&amp;" ","")&amp;IF(Risk_Register!$W$15="2-5",Risk_Register!$A$15&amp;" ","")&amp;IF(Risk_Register!$W$16="2-5",Risk_Register!$A$16&amp;" ","")&amp;IF(Risk_Register!$W$17="2-5",Risk_Register!$A$17&amp;" ","")))</f>
        <v/>
      </c>
    </row>
    <row r="10" customFormat="false" ht="43.5" hidden="false" customHeight="true" outlineLevel="0" collapsed="false">
      <c r="A10" s="15" t="s">
        <v>217</v>
      </c>
      <c r="B10" s="27" t="str">
        <f aca="false">IF(COUNTIFS(Risk_Register!$F$5:$F$17,1,Risk_Register!$G$5:$G$17,1)=0,"",COUNTIFS(Risk_Register!$F$5:$F$17,1,Risk_Register!$G$5:$G$17,1)&amp;" · Low"&amp;CHAR(10)&amp;TRIM(IF(Risk_Register!$V$5="1-1",Risk_Register!$A$5&amp;" ","")&amp;IF(Risk_Register!$V$6="1-1",Risk_Register!$A$6&amp;" ","")&amp;IF(Risk_Register!$V$7="1-1",Risk_Register!$A$7&amp;" ","")&amp;IF(Risk_Register!$V$8="1-1",Risk_Register!$A$8&amp;" ","")&amp;IF(Risk_Register!$V$9="1-1",Risk_Register!$A$9&amp;" ","")&amp;IF(Risk_Register!$V$10="1-1",Risk_Register!$A$10&amp;" ","")&amp;IF(Risk_Register!$V$11="1-1",Risk_Register!$A$11&amp;" ","")&amp;IF(Risk_Register!$V$12="1-1",Risk_Register!$A$12&amp;" ","")&amp;IF(Risk_Register!$V$13="1-1",Risk_Register!$A$13&amp;" ","")&amp;IF(Risk_Register!$V$14="1-1",Risk_Register!$A$14&amp;" ","")&amp;IF(Risk_Register!$V$15="1-1",Risk_Register!$A$15&amp;" ","")&amp;IF(Risk_Register!$V$16="1-1",Risk_Register!$A$16&amp;" ","")&amp;IF(Risk_Register!$V$17="1-1",Risk_Register!$A$17&amp;" ","")))</f>
        <v/>
      </c>
      <c r="C10" s="27" t="str">
        <f aca="false">IF(COUNTIFS(Risk_Register!$F$5:$F$17,1,Risk_Register!$G$5:$G$17,2)=0,"",COUNTIFS(Risk_Register!$F$5:$F$17,1,Risk_Register!$G$5:$G$17,2)&amp;" · Low"&amp;CHAR(10)&amp;TRIM(IF(Risk_Register!$V$5="1-2",Risk_Register!$A$5&amp;" ","")&amp;IF(Risk_Register!$V$6="1-2",Risk_Register!$A$6&amp;" ","")&amp;IF(Risk_Register!$V$7="1-2",Risk_Register!$A$7&amp;" ","")&amp;IF(Risk_Register!$V$8="1-2",Risk_Register!$A$8&amp;" ","")&amp;IF(Risk_Register!$V$9="1-2",Risk_Register!$A$9&amp;" ","")&amp;IF(Risk_Register!$V$10="1-2",Risk_Register!$A$10&amp;" ","")&amp;IF(Risk_Register!$V$11="1-2",Risk_Register!$A$11&amp;" ","")&amp;IF(Risk_Register!$V$12="1-2",Risk_Register!$A$12&amp;" ","")&amp;IF(Risk_Register!$V$13="1-2",Risk_Register!$A$13&amp;" ","")&amp;IF(Risk_Register!$V$14="1-2",Risk_Register!$A$14&amp;" ","")&amp;IF(Risk_Register!$V$15="1-2",Risk_Register!$A$15&amp;" ","")&amp;IF(Risk_Register!$V$16="1-2",Risk_Register!$A$16&amp;" ","")&amp;IF(Risk_Register!$V$17="1-2",Risk_Register!$A$17&amp;" ","")))</f>
        <v/>
      </c>
      <c r="D10" s="27" t="str">
        <f aca="false">IF(COUNTIFS(Risk_Register!$F$5:$F$17,1,Risk_Register!$G$5:$G$17,3)=0,"",COUNTIFS(Risk_Register!$F$5:$F$17,1,Risk_Register!$G$5:$G$17,3)&amp;" · Low"&amp;CHAR(10)&amp;TRIM(IF(Risk_Register!$V$5="1-3",Risk_Register!$A$5&amp;" ","")&amp;IF(Risk_Register!$V$6="1-3",Risk_Register!$A$6&amp;" ","")&amp;IF(Risk_Register!$V$7="1-3",Risk_Register!$A$7&amp;" ","")&amp;IF(Risk_Register!$V$8="1-3",Risk_Register!$A$8&amp;" ","")&amp;IF(Risk_Register!$V$9="1-3",Risk_Register!$A$9&amp;" ","")&amp;IF(Risk_Register!$V$10="1-3",Risk_Register!$A$10&amp;" ","")&amp;IF(Risk_Register!$V$11="1-3",Risk_Register!$A$11&amp;" ","")&amp;IF(Risk_Register!$V$12="1-3",Risk_Register!$A$12&amp;" ","")&amp;IF(Risk_Register!$V$13="1-3",Risk_Register!$A$13&amp;" ","")&amp;IF(Risk_Register!$V$14="1-3",Risk_Register!$A$14&amp;" ","")&amp;IF(Risk_Register!$V$15="1-3",Risk_Register!$A$15&amp;" ","")&amp;IF(Risk_Register!$V$16="1-3",Risk_Register!$A$16&amp;" ","")&amp;IF(Risk_Register!$V$17="1-3",Risk_Register!$A$17&amp;" ","")))</f>
        <v/>
      </c>
      <c r="E10" s="27" t="str">
        <f aca="false">IF(COUNTIFS(Risk_Register!$F$5:$F$17,1,Risk_Register!$G$5:$G$17,4)=0,"",COUNTIFS(Risk_Register!$F$5:$F$17,1,Risk_Register!$G$5:$G$17,4)&amp;" · Low"&amp;CHAR(10)&amp;TRIM(IF(Risk_Register!$V$5="1-4",Risk_Register!$A$5&amp;" ","")&amp;IF(Risk_Register!$V$6="1-4",Risk_Register!$A$6&amp;" ","")&amp;IF(Risk_Register!$V$7="1-4",Risk_Register!$A$7&amp;" ","")&amp;IF(Risk_Register!$V$8="1-4",Risk_Register!$A$8&amp;" ","")&amp;IF(Risk_Register!$V$9="1-4",Risk_Register!$A$9&amp;" ","")&amp;IF(Risk_Register!$V$10="1-4",Risk_Register!$A$10&amp;" ","")&amp;IF(Risk_Register!$V$11="1-4",Risk_Register!$A$11&amp;" ","")&amp;IF(Risk_Register!$V$12="1-4",Risk_Register!$A$12&amp;" ","")&amp;IF(Risk_Register!$V$13="1-4",Risk_Register!$A$13&amp;" ","")&amp;IF(Risk_Register!$V$14="1-4",Risk_Register!$A$14&amp;" ","")&amp;IF(Risk_Register!$V$15="1-4",Risk_Register!$A$15&amp;" ","")&amp;IF(Risk_Register!$V$16="1-4",Risk_Register!$A$16&amp;" ","")&amp;IF(Risk_Register!$V$17="1-4",Risk_Register!$A$17&amp;" ","")))</f>
        <v/>
      </c>
      <c r="F10" s="27" t="str">
        <f aca="false">IF(COUNTIFS(Risk_Register!$F$5:$F$17,1,Risk_Register!$G$5:$G$17,5)=0,"",COUNTIFS(Risk_Register!$F$5:$F$17,1,Risk_Register!$G$5:$G$17,5)&amp;" · Medium"&amp;CHAR(10)&amp;TRIM(IF(Risk_Register!$V$5="1-5",Risk_Register!$A$5&amp;" ","")&amp;IF(Risk_Register!$V$6="1-5",Risk_Register!$A$6&amp;" ","")&amp;IF(Risk_Register!$V$7="1-5",Risk_Register!$A$7&amp;" ","")&amp;IF(Risk_Register!$V$8="1-5",Risk_Register!$A$8&amp;" ","")&amp;IF(Risk_Register!$V$9="1-5",Risk_Register!$A$9&amp;" ","")&amp;IF(Risk_Register!$V$10="1-5",Risk_Register!$A$10&amp;" ","")&amp;IF(Risk_Register!$V$11="1-5",Risk_Register!$A$11&amp;" ","")&amp;IF(Risk_Register!$V$12="1-5",Risk_Register!$A$12&amp;" ","")&amp;IF(Risk_Register!$V$13="1-5",Risk_Register!$A$13&amp;" ","")&amp;IF(Risk_Register!$V$14="1-5",Risk_Register!$A$14&amp;" ","")&amp;IF(Risk_Register!$V$15="1-5",Risk_Register!$A$15&amp;" ","")&amp;IF(Risk_Register!$V$16="1-5",Risk_Register!$A$16&amp;" ","")&amp;IF(Risk_Register!$V$17="1-5",Risk_Register!$A$17&amp;" ","")))</f>
        <v/>
      </c>
      <c r="G10" s="15" t="s">
        <v>217</v>
      </c>
      <c r="H10" s="27" t="str">
        <f aca="false">IF(COUNTIFS(Risk_Register!$N$5:$N$17,1,Risk_Register!$O$5:$O$17,1)=0,"",COUNTIFS(Risk_Register!$N$5:$N$17,1,Risk_Register!$O$5:$O$17,1)&amp;" · Low"&amp;CHAR(10)&amp;TRIM(IF(Risk_Register!$W$5="1-1",Risk_Register!$A$5&amp;" ","")&amp;IF(Risk_Register!$W$6="1-1",Risk_Register!$A$6&amp;" ","")&amp;IF(Risk_Register!$W$7="1-1",Risk_Register!$A$7&amp;" ","")&amp;IF(Risk_Register!$W$8="1-1",Risk_Register!$A$8&amp;" ","")&amp;IF(Risk_Register!$W$9="1-1",Risk_Register!$A$9&amp;" ","")&amp;IF(Risk_Register!$W$10="1-1",Risk_Register!$A$10&amp;" ","")&amp;IF(Risk_Register!$W$11="1-1",Risk_Register!$A$11&amp;" ","")&amp;IF(Risk_Register!$W$12="1-1",Risk_Register!$A$12&amp;" ","")&amp;IF(Risk_Register!$W$13="1-1",Risk_Register!$A$13&amp;" ","")&amp;IF(Risk_Register!$W$14="1-1",Risk_Register!$A$14&amp;" ","")&amp;IF(Risk_Register!$W$15="1-1",Risk_Register!$A$15&amp;" ","")&amp;IF(Risk_Register!$W$16="1-1",Risk_Register!$A$16&amp;" ","")&amp;IF(Risk_Register!$W$17="1-1",Risk_Register!$A$17&amp;" ","")))</f>
        <v/>
      </c>
      <c r="I10" s="27" t="str">
        <f aca="false">IF(COUNTIFS(Risk_Register!$N$5:$N$17,1,Risk_Register!$O$5:$O$17,2)=0,"",COUNTIFS(Risk_Register!$N$5:$N$17,1,Risk_Register!$O$5:$O$17,2)&amp;" · Low"&amp;CHAR(10)&amp;TRIM(IF(Risk_Register!$W$5="1-2",Risk_Register!$A$5&amp;" ","")&amp;IF(Risk_Register!$W$6="1-2",Risk_Register!$A$6&amp;" ","")&amp;IF(Risk_Register!$W$7="1-2",Risk_Register!$A$7&amp;" ","")&amp;IF(Risk_Register!$W$8="1-2",Risk_Register!$A$8&amp;" ","")&amp;IF(Risk_Register!$W$9="1-2",Risk_Register!$A$9&amp;" ","")&amp;IF(Risk_Register!$W$10="1-2",Risk_Register!$A$10&amp;" ","")&amp;IF(Risk_Register!$W$11="1-2",Risk_Register!$A$11&amp;" ","")&amp;IF(Risk_Register!$W$12="1-2",Risk_Register!$A$12&amp;" ","")&amp;IF(Risk_Register!$W$13="1-2",Risk_Register!$A$13&amp;" ","")&amp;IF(Risk_Register!$W$14="1-2",Risk_Register!$A$14&amp;" ","")&amp;IF(Risk_Register!$W$15="1-2",Risk_Register!$A$15&amp;" ","")&amp;IF(Risk_Register!$W$16="1-2",Risk_Register!$A$16&amp;" ","")&amp;IF(Risk_Register!$W$17="1-2",Risk_Register!$A$17&amp;" ","")))</f>
        <v/>
      </c>
      <c r="J10" s="27" t="str">
        <f aca="false">IF(COUNTIFS(Risk_Register!$N$5:$N$17,1,Risk_Register!$O$5:$O$17,3)=0,"",COUNTIFS(Risk_Register!$N$5:$N$17,1,Risk_Register!$O$5:$O$17,3)&amp;" · Low"&amp;CHAR(10)&amp;TRIM(IF(Risk_Register!$W$5="1-3",Risk_Register!$A$5&amp;" ","")&amp;IF(Risk_Register!$W$6="1-3",Risk_Register!$A$6&amp;" ","")&amp;IF(Risk_Register!$W$7="1-3",Risk_Register!$A$7&amp;" ","")&amp;IF(Risk_Register!$W$8="1-3",Risk_Register!$A$8&amp;" ","")&amp;IF(Risk_Register!$W$9="1-3",Risk_Register!$A$9&amp;" ","")&amp;IF(Risk_Register!$W$10="1-3",Risk_Register!$A$10&amp;" ","")&amp;IF(Risk_Register!$W$11="1-3",Risk_Register!$A$11&amp;" ","")&amp;IF(Risk_Register!$W$12="1-3",Risk_Register!$A$12&amp;" ","")&amp;IF(Risk_Register!$W$13="1-3",Risk_Register!$A$13&amp;" ","")&amp;IF(Risk_Register!$W$14="1-3",Risk_Register!$A$14&amp;" ","")&amp;IF(Risk_Register!$W$15="1-3",Risk_Register!$A$15&amp;" ","")&amp;IF(Risk_Register!$W$16="1-3",Risk_Register!$A$16&amp;" ","")&amp;IF(Risk_Register!$W$17="1-3",Risk_Register!$A$17&amp;" ","")))</f>
        <v>2 · Low
R08 R10</v>
      </c>
      <c r="K10" s="27" t="str">
        <f aca="false">IF(COUNTIFS(Risk_Register!$N$5:$N$17,1,Risk_Register!$O$5:$O$17,4)=0,"",COUNTIFS(Risk_Register!$N$5:$N$17,1,Risk_Register!$O$5:$O$17,4)&amp;" · Low"&amp;CHAR(10)&amp;TRIM(IF(Risk_Register!$W$5="1-4",Risk_Register!$A$5&amp;" ","")&amp;IF(Risk_Register!$W$6="1-4",Risk_Register!$A$6&amp;" ","")&amp;IF(Risk_Register!$W$7="1-4",Risk_Register!$A$7&amp;" ","")&amp;IF(Risk_Register!$W$8="1-4",Risk_Register!$A$8&amp;" ","")&amp;IF(Risk_Register!$W$9="1-4",Risk_Register!$A$9&amp;" ","")&amp;IF(Risk_Register!$W$10="1-4",Risk_Register!$A$10&amp;" ","")&amp;IF(Risk_Register!$W$11="1-4",Risk_Register!$A$11&amp;" ","")&amp;IF(Risk_Register!$W$12="1-4",Risk_Register!$A$12&amp;" ","")&amp;IF(Risk_Register!$W$13="1-4",Risk_Register!$A$13&amp;" ","")&amp;IF(Risk_Register!$W$14="1-4",Risk_Register!$A$14&amp;" ","")&amp;IF(Risk_Register!$W$15="1-4",Risk_Register!$A$15&amp;" ","")&amp;IF(Risk_Register!$W$16="1-4",Risk_Register!$A$16&amp;" ","")&amp;IF(Risk_Register!$W$17="1-4",Risk_Register!$A$17&amp;" ","")))</f>
        <v>1 · Low
R04</v>
      </c>
      <c r="L10" s="27" t="str">
        <f aca="false">IF(COUNTIFS(Risk_Register!$N$5:$N$17,1,Risk_Register!$O$5:$O$17,5)=0,"",COUNTIFS(Risk_Register!$N$5:$N$17,1,Risk_Register!$O$5:$O$17,5)&amp;" · Medium"&amp;CHAR(10)&amp;TRIM(IF(Risk_Register!$W$5="1-5",Risk_Register!$A$5&amp;" ","")&amp;IF(Risk_Register!$W$6="1-5",Risk_Register!$A$6&amp;" ","")&amp;IF(Risk_Register!$W$7="1-5",Risk_Register!$A$7&amp;" ","")&amp;IF(Risk_Register!$W$8="1-5",Risk_Register!$A$8&amp;" ","")&amp;IF(Risk_Register!$W$9="1-5",Risk_Register!$A$9&amp;" ","")&amp;IF(Risk_Register!$W$10="1-5",Risk_Register!$A$10&amp;" ","")&amp;IF(Risk_Register!$W$11="1-5",Risk_Register!$A$11&amp;" ","")&amp;IF(Risk_Register!$W$12="1-5",Risk_Register!$A$12&amp;" ","")&amp;IF(Risk_Register!$W$13="1-5",Risk_Register!$A$13&amp;" ","")&amp;IF(Risk_Register!$W$14="1-5",Risk_Register!$A$14&amp;" ","")&amp;IF(Risk_Register!$W$15="1-5",Risk_Register!$A$15&amp;" ","")&amp;IF(Risk_Register!$W$16="1-5",Risk_Register!$A$16&amp;" ","")&amp;IF(Risk_Register!$W$17="1-5",Risk_Register!$A$17&amp;" ","")))</f>
        <v>1 · Medium
R03</v>
      </c>
    </row>
    <row r="12" customFormat="false" ht="15" hidden="false" customHeight="false" outlineLevel="0" collapsed="false">
      <c r="A12" s="6" t="s">
        <v>218</v>
      </c>
      <c r="B12" s="0" t="n">
        <f aca="false">COUNT(Risk_Register!$F$5:$F$17)</f>
        <v>13</v>
      </c>
      <c r="G12" s="6" t="s">
        <v>218</v>
      </c>
      <c r="H12" s="0" t="n">
        <f aca="false">COUNT(Risk_Register!$N$5:$N$17)</f>
        <v>13</v>
      </c>
    </row>
    <row r="14" customFormat="false" ht="15" hidden="false" customHeight="false" outlineLevel="0" collapsed="false">
      <c r="A14" s="6" t="s">
        <v>219</v>
      </c>
      <c r="B14" s="0" t="str">
        <f aca="false">IF(B12=COUNTA(Risk_Register!A5:A17),"OK","MISMATCH")</f>
        <v>OK</v>
      </c>
    </row>
    <row r="15" customFormat="false" ht="30" hidden="false" customHeight="true" outlineLevel="0" collapsed="false">
      <c r="A15" s="2" t="s">
        <v>220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mergeCells count="1">
    <mergeCell ref="A15:L15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0"/>
  </cols>
  <sheetData>
    <row r="1" customFormat="false" ht="18.55" hidden="false" customHeight="false" outlineLevel="0" collapsed="false">
      <c r="A1" s="19" t="s">
        <v>221</v>
      </c>
    </row>
    <row r="2" customFormat="false" ht="15" hidden="false" customHeight="false" outlineLevel="0" collapsed="false">
      <c r="A2" s="7" t="s">
        <v>222</v>
      </c>
    </row>
    <row r="4" customFormat="false" ht="31.5" hidden="false" customHeight="true" outlineLevel="0" collapsed="false">
      <c r="A4" s="3" t="s">
        <v>223</v>
      </c>
      <c r="B4" s="3" t="s">
        <v>224</v>
      </c>
      <c r="C4" s="3" t="s">
        <v>225</v>
      </c>
      <c r="D4" s="3" t="s">
        <v>226</v>
      </c>
      <c r="E4" s="3" t="s">
        <v>227</v>
      </c>
      <c r="F4" s="3" t="s">
        <v>228</v>
      </c>
      <c r="G4" s="3" t="s">
        <v>229</v>
      </c>
      <c r="I4" s="15" t="s">
        <v>230</v>
      </c>
      <c r="J4" s="15" t="s">
        <v>231</v>
      </c>
      <c r="K4" s="15" t="s">
        <v>232</v>
      </c>
      <c r="L4" s="15" t="s">
        <v>229</v>
      </c>
    </row>
    <row r="5" customFormat="false" ht="15" hidden="false" customHeight="false" outlineLevel="0" collapsed="false">
      <c r="A5" s="20" t="s">
        <v>233</v>
      </c>
      <c r="B5" s="20" t="s">
        <v>234</v>
      </c>
      <c r="C5" s="28" t="n">
        <f aca="false">SUMPRODUCT((Schedule_WBS!$B$5:$B$41=A5)*1,SUMIF(Assignments!$A$5:$A$84,Schedule_WBS!$A$5:$A$41,Assignments!$E$5:$E$84))</f>
        <v>1120</v>
      </c>
      <c r="D5" s="23" t="n">
        <f aca="false">SUMIF(Schedule_WBS!$B$5:$B$41,A5,Schedule_WBS!$L$5:$L$41)</f>
        <v>125520</v>
      </c>
      <c r="E5" s="23" t="n">
        <f aca="false">SUMIF(Schedule_WBS!$B$5:$B$41,A5,Schedule_WBS!$M$5:$M$41)</f>
        <v>0</v>
      </c>
      <c r="F5" s="23" t="n">
        <f aca="false">D5+E5</f>
        <v>125520</v>
      </c>
      <c r="G5" s="29" t="n">
        <f aca="false">F5/$F$12</f>
        <v>0.139438778910885</v>
      </c>
      <c r="I5" s="16" t="s">
        <v>235</v>
      </c>
      <c r="J5" s="30" t="n">
        <v>42500</v>
      </c>
      <c r="K5" s="30" t="n">
        <f aca="false">J5</f>
        <v>42500</v>
      </c>
      <c r="L5" s="31" t="n">
        <f aca="false">K5/$F$12</f>
        <v>0.047212779666289</v>
      </c>
    </row>
    <row r="6" customFormat="false" ht="15" hidden="false" customHeight="false" outlineLevel="0" collapsed="false">
      <c r="A6" s="20" t="s">
        <v>236</v>
      </c>
      <c r="B6" s="20" t="s">
        <v>237</v>
      </c>
      <c r="C6" s="28" t="n">
        <f aca="false">SUMPRODUCT((Schedule_WBS!$B$5:$B$41=A6)*1,SUMIF(Assignments!$A$5:$A$84,Schedule_WBS!$A$5:$A$41,Assignments!$E$5:$E$84))</f>
        <v>700</v>
      </c>
      <c r="D6" s="23" t="n">
        <f aca="false">SUMIF(Schedule_WBS!$B$5:$B$41,A6,Schedule_WBS!$L$5:$L$41)</f>
        <v>76900</v>
      </c>
      <c r="E6" s="23" t="n">
        <f aca="false">SUMIF(Schedule_WBS!$B$5:$B$41,A6,Schedule_WBS!$M$5:$M$41)</f>
        <v>0</v>
      </c>
      <c r="F6" s="23" t="n">
        <f aca="false">D6+E6</f>
        <v>76900</v>
      </c>
      <c r="G6" s="29" t="n">
        <f aca="false">F6/$F$12</f>
        <v>0.0854273589726499</v>
      </c>
      <c r="I6" s="16" t="s">
        <v>238</v>
      </c>
      <c r="J6" s="30" t="n">
        <v>72960</v>
      </c>
      <c r="K6" s="30" t="n">
        <f aca="false">K5+J6</f>
        <v>115460</v>
      </c>
      <c r="L6" s="31" t="n">
        <f aca="false">K6/$F$12</f>
        <v>0.128263236241641</v>
      </c>
    </row>
    <row r="7" customFormat="false" ht="15" hidden="false" customHeight="false" outlineLevel="0" collapsed="false">
      <c r="A7" s="20" t="s">
        <v>239</v>
      </c>
      <c r="B7" s="20" t="s">
        <v>240</v>
      </c>
      <c r="C7" s="28" t="n">
        <f aca="false">SUMPRODUCT((Schedule_WBS!$B$5:$B$41=A7)*1,SUMIF(Assignments!$A$5:$A$84,Schedule_WBS!$A$5:$A$41,Assignments!$E$5:$E$84))</f>
        <v>1500</v>
      </c>
      <c r="D7" s="23" t="n">
        <f aca="false">SUMIF(Schedule_WBS!$B$5:$B$41,A7,Schedule_WBS!$L$5:$L$41)</f>
        <v>150800</v>
      </c>
      <c r="E7" s="23" t="n">
        <f aca="false">SUMIF(Schedule_WBS!$B$5:$B$41,A7,Schedule_WBS!$M$5:$M$41)</f>
        <v>0</v>
      </c>
      <c r="F7" s="23" t="n">
        <f aca="false">D7+E7</f>
        <v>150800</v>
      </c>
      <c r="G7" s="29" t="n">
        <f aca="false">F7/$F$12</f>
        <v>0.167522051145326</v>
      </c>
      <c r="I7" s="16" t="s">
        <v>241</v>
      </c>
      <c r="J7" s="30" t="n">
        <v>143480</v>
      </c>
      <c r="K7" s="30" t="n">
        <f aca="false">K6+J7</f>
        <v>258940</v>
      </c>
      <c r="L7" s="31" t="n">
        <f aca="false">K7/$F$12</f>
        <v>0.287653580395032</v>
      </c>
    </row>
    <row r="8" customFormat="false" ht="15" hidden="false" customHeight="false" outlineLevel="0" collapsed="false">
      <c r="A8" s="20" t="s">
        <v>242</v>
      </c>
      <c r="B8" s="20" t="s">
        <v>243</v>
      </c>
      <c r="C8" s="28" t="n">
        <f aca="false">SUMPRODUCT((Schedule_WBS!$B$5:$B$41=A8)*1,SUMIF(Assignments!$A$5:$A$84,Schedule_WBS!$A$5:$A$41,Assignments!$E$5:$E$84))</f>
        <v>740</v>
      </c>
      <c r="D8" s="23" t="n">
        <f aca="false">SUMIF(Schedule_WBS!$B$5:$B$41,A8,Schedule_WBS!$L$5:$L$41)</f>
        <v>76400</v>
      </c>
      <c r="E8" s="23" t="n">
        <f aca="false">SUMIF(Schedule_WBS!$B$5:$B$41,A8,Schedule_WBS!$M$5:$M$41)</f>
        <v>0</v>
      </c>
      <c r="F8" s="23" t="n">
        <f aca="false">D8+E8</f>
        <v>76400</v>
      </c>
      <c r="G8" s="29" t="n">
        <f aca="false">F8/$F$12</f>
        <v>0.0848719145059877</v>
      </c>
      <c r="I8" s="16" t="s">
        <v>244</v>
      </c>
      <c r="J8" s="30" t="n">
        <v>136190</v>
      </c>
      <c r="K8" s="30" t="n">
        <f aca="false">K7+J8</f>
        <v>395130</v>
      </c>
      <c r="L8" s="31" t="n">
        <f aca="false">K8/$F$12</f>
        <v>0.438945544224488</v>
      </c>
    </row>
    <row r="9" customFormat="false" ht="15" hidden="false" customHeight="false" outlineLevel="0" collapsed="false">
      <c r="A9" s="20" t="s">
        <v>245</v>
      </c>
      <c r="B9" s="20" t="s">
        <v>246</v>
      </c>
      <c r="C9" s="28" t="n">
        <f aca="false">SUMPRODUCT((Schedule_WBS!$B$5:$B$41=A9)*1,SUMIF(Assignments!$A$5:$A$84,Schedule_WBS!$A$5:$A$41,Assignments!$E$5:$E$84))</f>
        <v>1140</v>
      </c>
      <c r="D9" s="23" t="n">
        <f aca="false">SUMIF(Schedule_WBS!$B$5:$B$41,A9,Schedule_WBS!$L$5:$L$41)</f>
        <v>115160</v>
      </c>
      <c r="E9" s="23" t="n">
        <f aca="false">SUMIF(Schedule_WBS!$B$5:$B$41,A9,Schedule_WBS!$M$5:$M$41)</f>
        <v>25000</v>
      </c>
      <c r="F9" s="23" t="n">
        <f aca="false">D9+E9</f>
        <v>140160</v>
      </c>
      <c r="G9" s="29" t="n">
        <f aca="false">F9/$F$12</f>
        <v>0.155702192894754</v>
      </c>
      <c r="I9" s="16" t="s">
        <v>247</v>
      </c>
      <c r="J9" s="30" t="n">
        <v>113120</v>
      </c>
      <c r="K9" s="30" t="n">
        <f aca="false">K8+J9</f>
        <v>508250</v>
      </c>
      <c r="L9" s="31" t="n">
        <f aca="false">K9/$F$12</f>
        <v>0.56460930036215</v>
      </c>
    </row>
    <row r="10" customFormat="false" ht="15" hidden="false" customHeight="false" outlineLevel="0" collapsed="false">
      <c r="A10" s="20" t="s">
        <v>248</v>
      </c>
      <c r="B10" s="20" t="s">
        <v>249</v>
      </c>
      <c r="C10" s="28" t="n">
        <f aca="false">SUMPRODUCT((Schedule_WBS!$B$5:$B$41=A10)*1,SUMIF(Assignments!$A$5:$A$84,Schedule_WBS!$A$5:$A$41,Assignments!$E$5:$E$84))</f>
        <v>1040</v>
      </c>
      <c r="D10" s="23" t="n">
        <f aca="false">SUMIF(Schedule_WBS!$B$5:$B$41,A10,Schedule_WBS!$L$5:$L$41)</f>
        <v>106400</v>
      </c>
      <c r="E10" s="23" t="n">
        <f aca="false">SUMIF(Schedule_WBS!$B$5:$B$41,A10,Schedule_WBS!$M$5:$M$41)</f>
        <v>224000</v>
      </c>
      <c r="F10" s="23" t="n">
        <f aca="false">D10+E10</f>
        <v>330400</v>
      </c>
      <c r="G10" s="29" t="n">
        <f aca="false">F10/$F$12</f>
        <v>0.367037703570397</v>
      </c>
      <c r="I10" s="16" t="s">
        <v>250</v>
      </c>
      <c r="J10" s="30" t="n">
        <v>56610</v>
      </c>
      <c r="K10" s="30" t="n">
        <f aca="false">K9+J10</f>
        <v>564860</v>
      </c>
      <c r="L10" s="31" t="n">
        <f aca="false">K10/$F$12</f>
        <v>0.627496722877647</v>
      </c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I11" s="16" t="s">
        <v>251</v>
      </c>
      <c r="J11" s="30" t="n">
        <v>275250</v>
      </c>
      <c r="K11" s="30" t="n">
        <f aca="false">K10+J11</f>
        <v>840110</v>
      </c>
      <c r="L11" s="31" t="n">
        <f aca="false">K11/$F$12</f>
        <v>0.933268901775201</v>
      </c>
    </row>
    <row r="12" customFormat="false" ht="15" hidden="false" customHeight="false" outlineLevel="0" collapsed="false">
      <c r="A12" s="20"/>
      <c r="B12" s="32" t="s">
        <v>252</v>
      </c>
      <c r="C12" s="33" t="n">
        <f aca="false">SUM(C5:C10)</f>
        <v>6240</v>
      </c>
      <c r="D12" s="34" t="n">
        <f aca="false">SUM(D5:D10)</f>
        <v>651180</v>
      </c>
      <c r="E12" s="34" t="n">
        <f aca="false">SUM(E5:E10)</f>
        <v>249000</v>
      </c>
      <c r="F12" s="34" t="n">
        <f aca="false">SUM(F5:F10)</f>
        <v>900180</v>
      </c>
      <c r="G12" s="22" t="n">
        <f aca="false">F12/F12</f>
        <v>1</v>
      </c>
      <c r="I12" s="16" t="s">
        <v>253</v>
      </c>
      <c r="J12" s="30" t="n">
        <v>49370</v>
      </c>
      <c r="K12" s="30" t="n">
        <f aca="false">K11+J12</f>
        <v>889480</v>
      </c>
      <c r="L12" s="31" t="n">
        <f aca="false">K12/$F$12</f>
        <v>0.988113488413428</v>
      </c>
    </row>
    <row r="13" customFormat="false" ht="15" hidden="false" customHeight="false" outlineLevel="0" collapsed="false">
      <c r="A13" s="20"/>
      <c r="B13" s="20" t="s">
        <v>254</v>
      </c>
      <c r="C13" s="20"/>
      <c r="D13" s="20"/>
      <c r="E13" s="20"/>
      <c r="F13" s="23" t="n">
        <f aca="false">Contingency</f>
        <v>90750</v>
      </c>
      <c r="G13" s="29" t="n">
        <f aca="false">F13/F12</f>
        <v>0.100813170699193</v>
      </c>
      <c r="I13" s="16" t="s">
        <v>255</v>
      </c>
      <c r="J13" s="30" t="n">
        <v>10700</v>
      </c>
      <c r="K13" s="30" t="n">
        <f aca="false">K12+J13</f>
        <v>900180</v>
      </c>
      <c r="L13" s="31" t="n">
        <f aca="false">K13/$F$12</f>
        <v>1</v>
      </c>
    </row>
    <row r="14" customFormat="false" ht="15" hidden="false" customHeight="false" outlineLevel="0" collapsed="false">
      <c r="A14" s="20"/>
      <c r="B14" s="20" t="s">
        <v>256</v>
      </c>
      <c r="C14" s="20"/>
      <c r="D14" s="20"/>
      <c r="E14" s="20"/>
      <c r="F14" s="23" t="n">
        <f aca="false">F12+F13</f>
        <v>990930</v>
      </c>
      <c r="G14" s="29"/>
      <c r="I14" s="35" t="s">
        <v>257</v>
      </c>
    </row>
    <row r="15" customFormat="false" ht="15" hidden="false" customHeight="false" outlineLevel="0" collapsed="false">
      <c r="A15" s="20"/>
      <c r="B15" s="20" t="s">
        <v>258</v>
      </c>
      <c r="C15" s="20"/>
      <c r="D15" s="20"/>
      <c r="E15" s="20"/>
      <c r="F15" s="23" t="n">
        <f aca="false">F12*5/100</f>
        <v>45009</v>
      </c>
      <c r="G15" s="29" t="n">
        <f aca="false">F15/F12</f>
        <v>0.05</v>
      </c>
    </row>
    <row r="16" customFormat="false" ht="15" hidden="false" customHeight="false" outlineLevel="0" collapsed="false">
      <c r="A16" s="20"/>
      <c r="B16" s="32" t="s">
        <v>259</v>
      </c>
      <c r="C16" s="20"/>
      <c r="D16" s="20"/>
      <c r="E16" s="20"/>
      <c r="F16" s="34" t="n">
        <f aca="false">F14+F15</f>
        <v>1035939</v>
      </c>
      <c r="G16" s="29"/>
    </row>
    <row r="17" customFormat="false" ht="15" hidden="false" customHeight="false" outlineLevel="0" collapsed="false">
      <c r="A17" s="20"/>
      <c r="B17" s="20" t="s">
        <v>260</v>
      </c>
      <c r="C17" s="20"/>
      <c r="D17" s="20"/>
      <c r="E17" s="20"/>
      <c r="F17" s="20" t="str">
        <f aca="false">IF(ABS(F12-BAC)&lt;1,"OK","MISMATCH")</f>
        <v>OK</v>
      </c>
      <c r="G17" s="20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5" min="3" style="0" width="13"/>
    <col collapsed="false" customWidth="true" hidden="false" outlineLevel="0" max="7" min="6" style="0" width="12"/>
    <col collapsed="false" customWidth="true" hidden="false" outlineLevel="0" max="9" min="8" style="0" width="8"/>
    <col collapsed="false" customWidth="true" hidden="false" outlineLevel="0" max="11" min="11" style="0" width="34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44"/>
  </cols>
  <sheetData>
    <row r="1" customFormat="false" ht="18.55" hidden="false" customHeight="false" outlineLevel="0" collapsed="false">
      <c r="A1" s="19" t="s">
        <v>261</v>
      </c>
    </row>
    <row r="2" customFormat="false" ht="15" hidden="false" customHeight="false" outlineLevel="0" collapsed="false">
      <c r="A2" s="7" t="s">
        <v>262</v>
      </c>
    </row>
    <row r="3" customFormat="false" ht="15" hidden="false" customHeight="false" outlineLevel="0" collapsed="false">
      <c r="K3" s="14" t="s">
        <v>263</v>
      </c>
    </row>
    <row r="4" customFormat="false" ht="31.5" hidden="false" customHeight="true" outlineLevel="0" collapsed="false">
      <c r="A4" s="3" t="s">
        <v>264</v>
      </c>
      <c r="B4" s="3" t="s">
        <v>265</v>
      </c>
      <c r="C4" s="3" t="s">
        <v>266</v>
      </c>
      <c r="D4" s="3" t="s">
        <v>267</v>
      </c>
      <c r="E4" s="3" t="s">
        <v>268</v>
      </c>
      <c r="F4" s="3" t="s">
        <v>269</v>
      </c>
      <c r="G4" s="3" t="s">
        <v>270</v>
      </c>
      <c r="H4" s="3" t="s">
        <v>34</v>
      </c>
      <c r="I4" s="3" t="s">
        <v>35</v>
      </c>
      <c r="K4" s="16" t="s">
        <v>271</v>
      </c>
      <c r="L4" s="30" t="n">
        <f aca="false">BAC</f>
        <v>900180</v>
      </c>
      <c r="M4" s="16"/>
      <c r="N4" s="16" t="s">
        <v>272</v>
      </c>
    </row>
    <row r="5" customFormat="false" ht="15" hidden="false" customHeight="false" outlineLevel="0" collapsed="false">
      <c r="A5" s="20" t="n">
        <v>1</v>
      </c>
      <c r="B5" s="36" t="n">
        <v>46213</v>
      </c>
      <c r="C5" s="23" t="n">
        <v>6700</v>
      </c>
      <c r="D5" s="23" t="n">
        <v>6700</v>
      </c>
      <c r="E5" s="23" t="n">
        <v>6700</v>
      </c>
      <c r="F5" s="23" t="n">
        <f aca="false">D5-C5</f>
        <v>0</v>
      </c>
      <c r="G5" s="23" t="n">
        <f aca="false">D5-E5</f>
        <v>0</v>
      </c>
      <c r="H5" s="37" t="n">
        <f aca="false">IF(C5=0,"",D5/C5)</f>
        <v>1</v>
      </c>
      <c r="I5" s="37" t="n">
        <f aca="false">IF(E5=0,"",D5/E5)</f>
        <v>1</v>
      </c>
      <c r="K5" s="16" t="s">
        <v>273</v>
      </c>
      <c r="L5" s="30" t="n">
        <f aca="false">PV_total</f>
        <v>242800</v>
      </c>
      <c r="M5" s="16"/>
      <c r="N5" s="16" t="s">
        <v>274</v>
      </c>
    </row>
    <row r="6" customFormat="false" ht="15" hidden="false" customHeight="false" outlineLevel="0" collapsed="false">
      <c r="A6" s="20" t="n">
        <v>2</v>
      </c>
      <c r="B6" s="36" t="n">
        <v>46220</v>
      </c>
      <c r="C6" s="23" t="n">
        <v>13400</v>
      </c>
      <c r="D6" s="23" t="n">
        <v>13400</v>
      </c>
      <c r="E6" s="23" t="n">
        <v>13400</v>
      </c>
      <c r="F6" s="23" t="n">
        <f aca="false">D6-C6</f>
        <v>0</v>
      </c>
      <c r="G6" s="23" t="n">
        <f aca="false">D6-E6</f>
        <v>0</v>
      </c>
      <c r="H6" s="37" t="n">
        <f aca="false">IF(C6=0,"",D6/C6)</f>
        <v>1</v>
      </c>
      <c r="I6" s="37" t="n">
        <f aca="false">IF(E6=0,"",D6/E6)</f>
        <v>1</v>
      </c>
      <c r="K6" s="16" t="s">
        <v>275</v>
      </c>
      <c r="L6" s="30" t="n">
        <f aca="false">EV_total</f>
        <v>221830</v>
      </c>
      <c r="M6" s="16"/>
      <c r="N6" s="16" t="s">
        <v>276</v>
      </c>
    </row>
    <row r="7" customFormat="false" ht="15" hidden="false" customHeight="false" outlineLevel="0" collapsed="false">
      <c r="A7" s="20" t="n">
        <v>3</v>
      </c>
      <c r="B7" s="36" t="n">
        <v>46227</v>
      </c>
      <c r="C7" s="23" t="n">
        <v>28900</v>
      </c>
      <c r="D7" s="23" t="n">
        <v>28900</v>
      </c>
      <c r="E7" s="23" t="n">
        <v>28900</v>
      </c>
      <c r="F7" s="23" t="n">
        <f aca="false">D7-C7</f>
        <v>0</v>
      </c>
      <c r="G7" s="23" t="n">
        <f aca="false">D7-E7</f>
        <v>0</v>
      </c>
      <c r="H7" s="37" t="n">
        <f aca="false">IF(C7=0,"",D7/C7)</f>
        <v>1</v>
      </c>
      <c r="I7" s="37" t="n">
        <f aca="false">IF(E7=0,"",D7/E7)</f>
        <v>1</v>
      </c>
      <c r="K7" s="16" t="s">
        <v>277</v>
      </c>
      <c r="L7" s="30" t="n">
        <f aca="false">AC_total</f>
        <v>231730</v>
      </c>
      <c r="M7" s="16"/>
      <c r="N7" s="16" t="s">
        <v>278</v>
      </c>
    </row>
    <row r="8" customFormat="false" ht="15" hidden="false" customHeight="false" outlineLevel="0" collapsed="false">
      <c r="A8" s="20" t="n">
        <v>4</v>
      </c>
      <c r="B8" s="36" t="n">
        <v>46234</v>
      </c>
      <c r="C8" s="23" t="n">
        <v>42500</v>
      </c>
      <c r="D8" s="23" t="n">
        <v>42500</v>
      </c>
      <c r="E8" s="23" t="n">
        <v>42500</v>
      </c>
      <c r="F8" s="23" t="n">
        <f aca="false">D8-C8</f>
        <v>0</v>
      </c>
      <c r="G8" s="23" t="n">
        <f aca="false">D8-E8</f>
        <v>0</v>
      </c>
      <c r="H8" s="37" t="n">
        <f aca="false">IF(C8=0,"",D8/C8)</f>
        <v>1</v>
      </c>
      <c r="I8" s="37" t="n">
        <f aca="false">IF(E8=0,"",D8/E8)</f>
        <v>1</v>
      </c>
      <c r="K8" s="16" t="s">
        <v>279</v>
      </c>
      <c r="L8" s="30" t="n">
        <f aca="false">L6-L5</f>
        <v>-20970</v>
      </c>
      <c r="M8" s="16"/>
      <c r="N8" s="16" t="s">
        <v>280</v>
      </c>
    </row>
    <row r="9" customFormat="false" ht="15" hidden="false" customHeight="false" outlineLevel="0" collapsed="false">
      <c r="A9" s="20" t="n">
        <v>5</v>
      </c>
      <c r="B9" s="36" t="n">
        <v>46241</v>
      </c>
      <c r="C9" s="23" t="n">
        <v>53650</v>
      </c>
      <c r="D9" s="23" t="n">
        <v>53650</v>
      </c>
      <c r="E9" s="23" t="n">
        <v>53650</v>
      </c>
      <c r="F9" s="23" t="n">
        <f aca="false">D9-C9</f>
        <v>0</v>
      </c>
      <c r="G9" s="23" t="n">
        <f aca="false">D9-E9</f>
        <v>0</v>
      </c>
      <c r="H9" s="37" t="n">
        <f aca="false">IF(C9=0,"",D9/C9)</f>
        <v>1</v>
      </c>
      <c r="I9" s="37" t="n">
        <f aca="false">IF(E9=0,"",D9/E9)</f>
        <v>1</v>
      </c>
      <c r="K9" s="16" t="s">
        <v>281</v>
      </c>
      <c r="L9" s="30" t="n">
        <f aca="false">L6-L7</f>
        <v>-9900</v>
      </c>
      <c r="M9" s="16"/>
      <c r="N9" s="16" t="s">
        <v>282</v>
      </c>
    </row>
    <row r="10" customFormat="false" ht="15" hidden="false" customHeight="false" outlineLevel="0" collapsed="false">
      <c r="A10" s="20" t="n">
        <v>6</v>
      </c>
      <c r="B10" s="36" t="n">
        <v>46248</v>
      </c>
      <c r="C10" s="23" t="n">
        <v>64800</v>
      </c>
      <c r="D10" s="23" t="n">
        <v>64800</v>
      </c>
      <c r="E10" s="23" t="n">
        <v>64800</v>
      </c>
      <c r="F10" s="23" t="n">
        <f aca="false">D10-C10</f>
        <v>0</v>
      </c>
      <c r="G10" s="23" t="n">
        <f aca="false">D10-E10</f>
        <v>0</v>
      </c>
      <c r="H10" s="37" t="n">
        <f aca="false">IF(C10=0,"",D10/C10)</f>
        <v>1</v>
      </c>
      <c r="I10" s="37" t="n">
        <f aca="false">IF(E10=0,"",D10/E10)</f>
        <v>1</v>
      </c>
      <c r="K10" s="16" t="s">
        <v>283</v>
      </c>
      <c r="L10" s="38" t="n">
        <f aca="false">L6/L5</f>
        <v>0.913632619439868</v>
      </c>
      <c r="M10" s="18" t="str">
        <f aca="false">IF(L10="","",IF(L10&gt;=0.95,"Green",IF(L10&gt;=0.9,"Amber","Red")))</f>
        <v>Amber</v>
      </c>
      <c r="N10" s="16" t="s">
        <v>284</v>
      </c>
    </row>
    <row r="11" customFormat="false" ht="15" hidden="false" customHeight="false" outlineLevel="0" collapsed="false">
      <c r="A11" s="20" t="n">
        <v>7</v>
      </c>
      <c r="B11" s="36" t="n">
        <v>46255</v>
      </c>
      <c r="C11" s="23" t="n">
        <v>83350</v>
      </c>
      <c r="D11" s="23" t="n">
        <v>83350</v>
      </c>
      <c r="E11" s="23" t="n">
        <v>85210</v>
      </c>
      <c r="F11" s="23" t="n">
        <f aca="false">D11-C11</f>
        <v>0</v>
      </c>
      <c r="G11" s="23" t="n">
        <f aca="false">D11-E11</f>
        <v>-1860</v>
      </c>
      <c r="H11" s="37" t="n">
        <f aca="false">IF(C11=0,"",D11/C11)</f>
        <v>1</v>
      </c>
      <c r="I11" s="37" t="n">
        <f aca="false">IF(E11=0,"",D11/E11)</f>
        <v>0.978171576106091</v>
      </c>
      <c r="K11" s="16" t="s">
        <v>285</v>
      </c>
      <c r="L11" s="38" t="n">
        <f aca="false">L6/L7</f>
        <v>0.957277866482544</v>
      </c>
      <c r="M11" s="18" t="str">
        <f aca="false">IF(L11="","",IF(L11&gt;=0.95,"Green",IF(L11&gt;=0.9,"Amber","Red")))</f>
        <v>Green</v>
      </c>
      <c r="N11" s="16" t="s">
        <v>286</v>
      </c>
    </row>
    <row r="12" customFormat="false" ht="15" hidden="false" customHeight="false" outlineLevel="0" collapsed="false">
      <c r="A12" s="20" t="n">
        <v>8</v>
      </c>
      <c r="B12" s="36" t="n">
        <v>46262</v>
      </c>
      <c r="C12" s="23" t="n">
        <v>107000</v>
      </c>
      <c r="D12" s="23" t="n">
        <v>107000</v>
      </c>
      <c r="E12" s="23" t="n">
        <v>110720</v>
      </c>
      <c r="F12" s="23" t="n">
        <f aca="false">D12-C12</f>
        <v>0</v>
      </c>
      <c r="G12" s="23" t="n">
        <f aca="false">D12-E12</f>
        <v>-3720</v>
      </c>
      <c r="H12" s="37" t="n">
        <f aca="false">IF(C12=0,"",D12/C12)</f>
        <v>1</v>
      </c>
      <c r="I12" s="37" t="n">
        <f aca="false">IF(E12=0,"",D12/E12)</f>
        <v>0.966401734104046</v>
      </c>
      <c r="K12" s="16" t="s">
        <v>287</v>
      </c>
      <c r="L12" s="30" t="n">
        <f aca="false">L4/L11</f>
        <v>940353.925979354</v>
      </c>
      <c r="M12" s="16"/>
      <c r="N12" s="16" t="s">
        <v>288</v>
      </c>
    </row>
    <row r="13" customFormat="false" ht="15" hidden="false" customHeight="false" outlineLevel="0" collapsed="false">
      <c r="A13" s="20" t="n">
        <v>9</v>
      </c>
      <c r="B13" s="36" t="n">
        <v>46269</v>
      </c>
      <c r="C13" s="23" t="n">
        <v>149300</v>
      </c>
      <c r="D13" s="23" t="n">
        <v>147200</v>
      </c>
      <c r="E13" s="23" t="n">
        <v>152180</v>
      </c>
      <c r="F13" s="23" t="n">
        <f aca="false">D13-C13</f>
        <v>-2100</v>
      </c>
      <c r="G13" s="23" t="n">
        <f aca="false">D13-E13</f>
        <v>-4980</v>
      </c>
      <c r="H13" s="37" t="n">
        <f aca="false">IF(C13=0,"",D13/C13)</f>
        <v>0.985934360348292</v>
      </c>
      <c r="I13" s="37" t="n">
        <f aca="false">IF(E13=0,"",D13/E13)</f>
        <v>0.967275594690498</v>
      </c>
      <c r="K13" s="16" t="s">
        <v>289</v>
      </c>
      <c r="L13" s="30" t="n">
        <f aca="false">L7+(L4-L6)</f>
        <v>910080</v>
      </c>
      <c r="M13" s="16"/>
      <c r="N13" s="16" t="s">
        <v>290</v>
      </c>
    </row>
    <row r="14" customFormat="false" ht="15" hidden="false" customHeight="false" outlineLevel="0" collapsed="false">
      <c r="A14" s="20" t="n">
        <v>10</v>
      </c>
      <c r="B14" s="36" t="n">
        <v>46276</v>
      </c>
      <c r="C14" s="23" t="n">
        <v>180600</v>
      </c>
      <c r="D14" s="23" t="n">
        <v>176400</v>
      </c>
      <c r="E14" s="23" t="n">
        <v>182640</v>
      </c>
      <c r="F14" s="23" t="n">
        <f aca="false">D14-C14</f>
        <v>-4200</v>
      </c>
      <c r="G14" s="23" t="n">
        <f aca="false">D14-E14</f>
        <v>-6240</v>
      </c>
      <c r="H14" s="37" t="n">
        <f aca="false">IF(C14=0,"",D14/C14)</f>
        <v>0.976744186046512</v>
      </c>
      <c r="I14" s="37" t="n">
        <f aca="false">IF(E14=0,"",D14/E14)</f>
        <v>0.965834428383706</v>
      </c>
      <c r="K14" s="16" t="s">
        <v>291</v>
      </c>
      <c r="L14" s="30" t="n">
        <f aca="false">L7+(L4-L6)/(L11*L10)</f>
        <v>1007341.45574443</v>
      </c>
      <c r="M14" s="16"/>
      <c r="N14" s="16" t="s">
        <v>292</v>
      </c>
    </row>
    <row r="15" customFormat="false" ht="15" hidden="false" customHeight="false" outlineLevel="0" collapsed="false">
      <c r="A15" s="20" t="n">
        <v>11</v>
      </c>
      <c r="B15" s="36" t="n">
        <v>46283</v>
      </c>
      <c r="C15" s="23" t="n">
        <v>211700</v>
      </c>
      <c r="D15" s="23" t="n">
        <v>199115</v>
      </c>
      <c r="E15" s="23" t="n">
        <v>207185</v>
      </c>
      <c r="F15" s="23" t="n">
        <f aca="false">D15-C15</f>
        <v>-12585</v>
      </c>
      <c r="G15" s="23" t="n">
        <f aca="false">D15-E15</f>
        <v>-8070</v>
      </c>
      <c r="H15" s="37" t="n">
        <f aca="false">IF(C15=0,"",D15/C15)</f>
        <v>0.940552668871044</v>
      </c>
      <c r="I15" s="37" t="n">
        <f aca="false">IF(E15=0,"",D15/E15)</f>
        <v>0.961049303762338</v>
      </c>
      <c r="K15" s="16" t="s">
        <v>293</v>
      </c>
      <c r="L15" s="30" t="n">
        <f aca="false">L12-L7</f>
        <v>708623.925979354</v>
      </c>
      <c r="M15" s="16"/>
      <c r="N15" s="16" t="s">
        <v>294</v>
      </c>
    </row>
    <row r="16" customFormat="false" ht="15" hidden="false" customHeight="false" outlineLevel="0" collapsed="false">
      <c r="A16" s="21" t="n">
        <v>12</v>
      </c>
      <c r="B16" s="36" t="n">
        <v>46290</v>
      </c>
      <c r="C16" s="23" t="n">
        <v>242800</v>
      </c>
      <c r="D16" s="23" t="n">
        <v>221830</v>
      </c>
      <c r="E16" s="23" t="n">
        <v>231730</v>
      </c>
      <c r="F16" s="23" t="n">
        <f aca="false">D16-C16</f>
        <v>-20970</v>
      </c>
      <c r="G16" s="23" t="n">
        <f aca="false">D16-E16</f>
        <v>-9900</v>
      </c>
      <c r="H16" s="37" t="n">
        <f aca="false">IF(C16=0,"",D16/C16)</f>
        <v>0.913632619439868</v>
      </c>
      <c r="I16" s="37" t="n">
        <f aca="false">IF(E16=0,"",D16/E16)</f>
        <v>0.957277866482544</v>
      </c>
      <c r="K16" s="16" t="s">
        <v>295</v>
      </c>
      <c r="L16" s="30" t="n">
        <f aca="false">L4-L12</f>
        <v>-40173.9259793536</v>
      </c>
      <c r="M16" s="16"/>
      <c r="N16" s="16" t="s">
        <v>296</v>
      </c>
    </row>
    <row r="17" customFormat="false" ht="15" hidden="false" customHeight="false" outlineLevel="0" collapsed="false">
      <c r="A17" s="20" t="n">
        <v>13</v>
      </c>
      <c r="B17" s="36" t="n">
        <v>46297</v>
      </c>
      <c r="C17" s="23" t="n">
        <v>269700</v>
      </c>
      <c r="D17" s="20"/>
      <c r="E17" s="20"/>
      <c r="F17" s="20"/>
      <c r="G17" s="20"/>
      <c r="H17" s="20"/>
      <c r="I17" s="20"/>
      <c r="K17" s="16" t="s">
        <v>297</v>
      </c>
      <c r="L17" s="38" t="n">
        <f aca="false">(L4-L6)/(L4-L7)</f>
        <v>1.01481038222754</v>
      </c>
      <c r="M17" s="16"/>
      <c r="N17" s="16" t="s">
        <v>298</v>
      </c>
    </row>
    <row r="18" customFormat="false" ht="15" hidden="false" customHeight="false" outlineLevel="0" collapsed="false">
      <c r="A18" s="20" t="n">
        <v>14</v>
      </c>
      <c r="B18" s="36" t="n">
        <v>46304</v>
      </c>
      <c r="C18" s="23" t="n">
        <v>293660</v>
      </c>
      <c r="D18" s="20"/>
      <c r="E18" s="20"/>
      <c r="F18" s="20"/>
      <c r="G18" s="20"/>
      <c r="H18" s="20"/>
      <c r="I18" s="20"/>
      <c r="K18" s="16" t="s">
        <v>299</v>
      </c>
      <c r="L18" s="39" t="n">
        <f aca="false">L6/L4</f>
        <v>0.246428492079362</v>
      </c>
      <c r="M18" s="16"/>
      <c r="N18" s="16" t="s">
        <v>300</v>
      </c>
    </row>
    <row r="19" customFormat="false" ht="15" hidden="false" customHeight="false" outlineLevel="0" collapsed="false">
      <c r="A19" s="20" t="n">
        <v>15</v>
      </c>
      <c r="B19" s="36" t="n">
        <v>46311</v>
      </c>
      <c r="C19" s="23" t="n">
        <v>321370</v>
      </c>
      <c r="D19" s="20"/>
      <c r="E19" s="20"/>
      <c r="F19" s="20"/>
      <c r="G19" s="20"/>
      <c r="H19" s="20"/>
      <c r="I19" s="20"/>
      <c r="K19" s="16" t="s">
        <v>301</v>
      </c>
      <c r="L19" s="39" t="n">
        <f aca="false">L5/L4</f>
        <v>0.269723833011176</v>
      </c>
      <c r="M19" s="16"/>
      <c r="N19" s="16" t="s">
        <v>302</v>
      </c>
    </row>
    <row r="20" customFormat="false" ht="15" hidden="false" customHeight="false" outlineLevel="0" collapsed="false">
      <c r="A20" s="20" t="n">
        <v>16</v>
      </c>
      <c r="B20" s="36" t="n">
        <v>46318</v>
      </c>
      <c r="C20" s="23" t="n">
        <v>352920</v>
      </c>
      <c r="D20" s="20"/>
      <c r="E20" s="20"/>
      <c r="F20" s="20"/>
      <c r="G20" s="20"/>
      <c r="H20" s="20"/>
      <c r="I20" s="20"/>
      <c r="K20" s="16" t="s">
        <v>303</v>
      </c>
      <c r="L20" s="30" t="n">
        <f aca="false">Contingency</f>
        <v>90750</v>
      </c>
      <c r="M20" s="16"/>
      <c r="N20" s="16" t="s">
        <v>304</v>
      </c>
    </row>
    <row r="21" customFormat="false" ht="15" hidden="false" customHeight="false" outlineLevel="0" collapsed="false">
      <c r="A21" s="20" t="n">
        <v>17</v>
      </c>
      <c r="B21" s="36" t="n">
        <v>46325</v>
      </c>
      <c r="C21" s="23" t="n">
        <v>395130</v>
      </c>
      <c r="D21" s="20"/>
      <c r="E21" s="20"/>
      <c r="F21" s="20"/>
      <c r="G21" s="20"/>
      <c r="H21" s="20"/>
      <c r="I21" s="20"/>
      <c r="K21" s="16" t="s">
        <v>305</v>
      </c>
      <c r="L21" s="16" t="str">
        <f aca="false">IF(L12&lt;=L4+L20,"Yes","No")</f>
        <v>Yes</v>
      </c>
      <c r="M21" s="16"/>
      <c r="N21" s="16" t="s">
        <v>306</v>
      </c>
    </row>
    <row r="22" customFormat="false" ht="15" hidden="false" customHeight="false" outlineLevel="0" collapsed="false">
      <c r="A22" s="20" t="n">
        <v>18</v>
      </c>
      <c r="B22" s="36" t="n">
        <v>46332</v>
      </c>
      <c r="C22" s="23" t="n">
        <v>437130</v>
      </c>
      <c r="D22" s="20"/>
      <c r="E22" s="20"/>
      <c r="F22" s="20"/>
      <c r="G22" s="20"/>
      <c r="H22" s="20"/>
      <c r="I22" s="20"/>
    </row>
    <row r="23" customFormat="false" ht="15" hidden="false" customHeight="false" outlineLevel="0" collapsed="false">
      <c r="A23" s="20" t="n">
        <v>19</v>
      </c>
      <c r="B23" s="36" t="n">
        <v>46339</v>
      </c>
      <c r="C23" s="23" t="n">
        <v>465600</v>
      </c>
      <c r="D23" s="20"/>
      <c r="E23" s="20"/>
      <c r="F23" s="20"/>
      <c r="G23" s="20"/>
      <c r="H23" s="20"/>
      <c r="I23" s="20"/>
    </row>
    <row r="24" customFormat="false" ht="15" hidden="false" customHeight="false" outlineLevel="0" collapsed="false">
      <c r="A24" s="20" t="n">
        <v>20</v>
      </c>
      <c r="B24" s="36" t="n">
        <v>46346</v>
      </c>
      <c r="C24" s="23" t="n">
        <v>490850</v>
      </c>
      <c r="D24" s="20"/>
      <c r="E24" s="20"/>
      <c r="F24" s="20"/>
      <c r="G24" s="20"/>
      <c r="H24" s="20"/>
      <c r="I24" s="20"/>
      <c r="K24" s="35" t="s">
        <v>307</v>
      </c>
    </row>
    <row r="25" customFormat="false" ht="15" hidden="false" customHeight="false" outlineLevel="0" collapsed="false">
      <c r="A25" s="20" t="n">
        <v>21</v>
      </c>
      <c r="B25" s="36" t="n">
        <v>46353</v>
      </c>
      <c r="C25" s="23" t="n">
        <v>505780</v>
      </c>
      <c r="D25" s="20"/>
      <c r="E25" s="20"/>
      <c r="F25" s="20"/>
      <c r="G25" s="20"/>
      <c r="H25" s="20"/>
      <c r="I25" s="20"/>
      <c r="K25" s="0" t="s">
        <v>308</v>
      </c>
      <c r="L25" s="0" t="str">
        <f aca="false">IF(AND(ABS(C16-L5)&lt;1,ABS(D16-L6)&lt;1,ABS(E16-L7)&lt;1),"OK","MISMATCH")</f>
        <v>OK</v>
      </c>
    </row>
    <row r="26" customFormat="false" ht="15" hidden="false" customHeight="false" outlineLevel="0" collapsed="false">
      <c r="A26" s="20" t="n">
        <v>22</v>
      </c>
      <c r="B26" s="36" t="n">
        <v>46360</v>
      </c>
      <c r="C26" s="23" t="n">
        <v>526210</v>
      </c>
      <c r="D26" s="20"/>
      <c r="E26" s="20"/>
      <c r="F26" s="20"/>
      <c r="G26" s="20"/>
      <c r="H26" s="20"/>
      <c r="I26" s="20"/>
    </row>
    <row r="27" customFormat="false" ht="15" hidden="false" customHeight="false" outlineLevel="0" collapsed="false">
      <c r="A27" s="20" t="n">
        <v>23</v>
      </c>
      <c r="B27" s="36" t="n">
        <v>46367</v>
      </c>
      <c r="C27" s="23" t="n">
        <v>546640</v>
      </c>
      <c r="D27" s="20"/>
      <c r="E27" s="20"/>
      <c r="F27" s="20"/>
      <c r="G27" s="20"/>
      <c r="H27" s="20"/>
      <c r="I27" s="20"/>
    </row>
    <row r="28" customFormat="false" ht="15" hidden="false" customHeight="false" outlineLevel="0" collapsed="false">
      <c r="A28" s="20" t="n">
        <v>24</v>
      </c>
      <c r="B28" s="36" t="n">
        <v>46374</v>
      </c>
      <c r="C28" s="23" t="n">
        <v>558110</v>
      </c>
      <c r="D28" s="20"/>
      <c r="E28" s="20"/>
      <c r="F28" s="20"/>
      <c r="G28" s="20"/>
      <c r="H28" s="20"/>
      <c r="I28" s="20"/>
    </row>
    <row r="29" customFormat="false" ht="15" hidden="false" customHeight="false" outlineLevel="0" collapsed="false">
      <c r="A29" s="20" t="n">
        <v>25</v>
      </c>
      <c r="B29" s="36" t="n">
        <v>46381</v>
      </c>
      <c r="C29" s="23" t="n">
        <v>564860</v>
      </c>
      <c r="D29" s="20"/>
      <c r="E29" s="20"/>
      <c r="F29" s="20"/>
      <c r="G29" s="20"/>
      <c r="H29" s="20"/>
      <c r="I29" s="20"/>
    </row>
    <row r="30" customFormat="false" ht="15" hidden="false" customHeight="false" outlineLevel="0" collapsed="false">
      <c r="A30" s="20" t="n">
        <v>26</v>
      </c>
      <c r="B30" s="36" t="n">
        <v>46388</v>
      </c>
      <c r="C30" s="23" t="n">
        <v>564860</v>
      </c>
      <c r="D30" s="20"/>
      <c r="E30" s="20"/>
      <c r="F30" s="20"/>
      <c r="G30" s="20"/>
      <c r="H30" s="20"/>
      <c r="I30" s="20"/>
    </row>
    <row r="31" customFormat="false" ht="15" hidden="false" customHeight="false" outlineLevel="0" collapsed="false">
      <c r="A31" s="20" t="n">
        <v>27</v>
      </c>
      <c r="B31" s="36" t="n">
        <v>46395</v>
      </c>
      <c r="C31" s="23" t="n">
        <v>576510</v>
      </c>
      <c r="D31" s="20"/>
      <c r="E31" s="20"/>
      <c r="F31" s="20"/>
      <c r="G31" s="20"/>
      <c r="H31" s="20"/>
      <c r="I31" s="20"/>
    </row>
    <row r="32" customFormat="false" ht="15" hidden="false" customHeight="false" outlineLevel="0" collapsed="false">
      <c r="A32" s="20" t="n">
        <v>28</v>
      </c>
      <c r="B32" s="36" t="n">
        <v>46402</v>
      </c>
      <c r="C32" s="23" t="n">
        <v>679040</v>
      </c>
      <c r="D32" s="20"/>
      <c r="E32" s="20"/>
      <c r="F32" s="20"/>
      <c r="G32" s="20"/>
      <c r="H32" s="20"/>
      <c r="I32" s="20"/>
    </row>
    <row r="33" customFormat="false" ht="15" hidden="false" customHeight="false" outlineLevel="0" collapsed="false">
      <c r="A33" s="20" t="n">
        <v>29</v>
      </c>
      <c r="B33" s="36" t="n">
        <v>46409</v>
      </c>
      <c r="C33" s="23" t="n">
        <v>827910</v>
      </c>
      <c r="D33" s="20"/>
      <c r="E33" s="20"/>
      <c r="F33" s="20"/>
      <c r="G33" s="20"/>
      <c r="H33" s="20"/>
      <c r="I33" s="20"/>
    </row>
    <row r="34" customFormat="false" ht="15" hidden="false" customHeight="false" outlineLevel="0" collapsed="false">
      <c r="A34" s="20" t="n">
        <v>30</v>
      </c>
      <c r="B34" s="36" t="n">
        <v>46416</v>
      </c>
      <c r="C34" s="23" t="n">
        <v>840110</v>
      </c>
      <c r="D34" s="20"/>
      <c r="E34" s="20"/>
      <c r="F34" s="20"/>
      <c r="G34" s="20"/>
      <c r="H34" s="20"/>
      <c r="I34" s="20"/>
    </row>
    <row r="35" customFormat="false" ht="15" hidden="false" customHeight="false" outlineLevel="0" collapsed="false">
      <c r="A35" s="20" t="n">
        <v>31</v>
      </c>
      <c r="B35" s="36" t="n">
        <v>46423</v>
      </c>
      <c r="C35" s="23" t="n">
        <v>855360</v>
      </c>
      <c r="D35" s="20"/>
      <c r="E35" s="20"/>
      <c r="F35" s="20"/>
      <c r="G35" s="20"/>
      <c r="H35" s="20"/>
      <c r="I35" s="20"/>
    </row>
    <row r="36" customFormat="false" ht="15" hidden="false" customHeight="false" outlineLevel="0" collapsed="false">
      <c r="A36" s="20" t="n">
        <v>32</v>
      </c>
      <c r="B36" s="36" t="n">
        <v>46430</v>
      </c>
      <c r="C36" s="23" t="n">
        <v>870610</v>
      </c>
      <c r="D36" s="20"/>
      <c r="E36" s="20"/>
      <c r="F36" s="20"/>
      <c r="G36" s="20"/>
      <c r="H36" s="20"/>
      <c r="I36" s="20"/>
    </row>
    <row r="37" customFormat="false" ht="15" hidden="false" customHeight="false" outlineLevel="0" collapsed="false">
      <c r="A37" s="20" t="n">
        <v>33</v>
      </c>
      <c r="B37" s="36" t="n">
        <v>46437</v>
      </c>
      <c r="C37" s="23" t="n">
        <v>884480</v>
      </c>
      <c r="D37" s="20"/>
      <c r="E37" s="20"/>
      <c r="F37" s="20"/>
      <c r="G37" s="20"/>
      <c r="H37" s="20"/>
      <c r="I37" s="20"/>
    </row>
    <row r="38" customFormat="false" ht="15" hidden="false" customHeight="false" outlineLevel="0" collapsed="false">
      <c r="A38" s="20" t="n">
        <v>34</v>
      </c>
      <c r="B38" s="36" t="n">
        <v>46444</v>
      </c>
      <c r="C38" s="23" t="n">
        <v>889480</v>
      </c>
      <c r="D38" s="20"/>
      <c r="E38" s="20"/>
      <c r="F38" s="20"/>
      <c r="G38" s="20"/>
      <c r="H38" s="20"/>
      <c r="I38" s="20"/>
    </row>
    <row r="39" customFormat="false" ht="15" hidden="false" customHeight="false" outlineLevel="0" collapsed="false">
      <c r="A39" s="20" t="n">
        <v>35</v>
      </c>
      <c r="B39" s="36" t="n">
        <v>46451</v>
      </c>
      <c r="C39" s="23" t="n">
        <v>894820</v>
      </c>
      <c r="D39" s="20"/>
      <c r="E39" s="20"/>
      <c r="F39" s="20"/>
      <c r="G39" s="20"/>
      <c r="H39" s="20"/>
      <c r="I39" s="20"/>
    </row>
    <row r="40" customFormat="false" ht="15" hidden="false" customHeight="false" outlineLevel="0" collapsed="false">
      <c r="A40" s="20" t="n">
        <v>36</v>
      </c>
      <c r="B40" s="36" t="n">
        <v>46458</v>
      </c>
      <c r="C40" s="23" t="n">
        <v>900180</v>
      </c>
      <c r="D40" s="20"/>
      <c r="E40" s="20"/>
      <c r="F40" s="20"/>
      <c r="G40" s="20"/>
      <c r="H40" s="20"/>
      <c r="I40" s="20"/>
    </row>
  </sheetData>
  <conditionalFormatting sqref="A16:I16">
    <cfRule type="expression" priority="2" aboveAverage="0" equalAverage="0" bottom="0" percent="0" rank="0" text="" dxfId="3">
      <formula>1</formula>
    </cfRule>
  </conditionalFormatting>
  <conditionalFormatting sqref="H5:I16">
    <cfRule type="cellIs" priority="3" operator="lessThan" aboveAverage="0" equalAverage="0" bottom="0" percent="0" rank="0" text="" dxfId="0">
      <formula>0.9</formula>
    </cfRule>
    <cfRule type="cellIs" priority="4" operator="between" aboveAverage="0" equalAverage="0" bottom="0" percent="0" rank="0" text="" dxfId="0">
      <formula>0.9</formula>
      <formula>0.9499</formula>
    </cfRule>
    <cfRule type="cellIs" priority="5" operator="greaterThanOrEqual" aboveAverage="0" equalAverage="0" bottom="0" percent="0" rank="0" text="" dxfId="0">
      <formula>0.95</formula>
    </cfRule>
  </conditionalFormatting>
  <conditionalFormatting sqref="M10:M11">
    <cfRule type="cellIs" priority="6" operator="equal" aboveAverage="0" equalAverage="0" bottom="0" percent="0" rank="0" text="" dxfId="0">
      <formula>"Green"</formula>
    </cfRule>
    <cfRule type="cellIs" priority="7" operator="equal" aboveAverage="0" equalAverage="0" bottom="0" percent="0" rank="0" text="" dxfId="0">
      <formula>"Amber"</formula>
    </cfRule>
    <cfRule type="cellIs" priority="8" operator="equal" aboveAverage="0" equalAverage="0" bottom="0" percent="0" rank="0" text="" dxfId="0">
      <formula>"Red"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46"/>
    <col collapsed="false" customWidth="true" hidden="false" outlineLevel="0" max="9" min="8" style="0" width="12"/>
    <col collapsed="false" customWidth="true" hidden="false" outlineLevel="0" max="10" min="10" style="0" width="46"/>
    <col collapsed="false" customWidth="true" hidden="false" outlineLevel="0" max="11" min="11" style="0" width="10"/>
  </cols>
  <sheetData>
    <row r="1" customFormat="false" ht="18.55" hidden="false" customHeight="false" outlineLevel="0" collapsed="false">
      <c r="A1" s="19" t="s">
        <v>309</v>
      </c>
    </row>
    <row r="2" customFormat="false" ht="15" hidden="false" customHeight="false" outlineLevel="0" collapsed="false">
      <c r="A2" s="7" t="s">
        <v>310</v>
      </c>
    </row>
    <row r="4" customFormat="false" ht="31.5" hidden="false" customHeight="true" outlineLevel="0" collapsed="false">
      <c r="A4" s="3" t="s">
        <v>45</v>
      </c>
      <c r="B4" s="3" t="s">
        <v>311</v>
      </c>
      <c r="C4" s="3" t="s">
        <v>312</v>
      </c>
      <c r="D4" s="3" t="s">
        <v>313</v>
      </c>
      <c r="E4" s="3" t="s">
        <v>314</v>
      </c>
      <c r="F4" s="3" t="s">
        <v>315</v>
      </c>
      <c r="G4" s="3" t="s">
        <v>316</v>
      </c>
      <c r="H4" s="3" t="s">
        <v>317</v>
      </c>
      <c r="I4" s="3" t="s">
        <v>318</v>
      </c>
      <c r="J4" s="3" t="s">
        <v>319</v>
      </c>
      <c r="K4" s="3" t="s">
        <v>320</v>
      </c>
    </row>
    <row r="5" customFormat="false" ht="43.5" hidden="false" customHeight="true" outlineLevel="0" collapsed="false">
      <c r="A5" s="20" t="s">
        <v>321</v>
      </c>
      <c r="B5" s="5" t="s">
        <v>322</v>
      </c>
      <c r="C5" s="5" t="s">
        <v>323</v>
      </c>
      <c r="D5" s="21" t="n">
        <v>5</v>
      </c>
      <c r="E5" s="21" t="n">
        <v>5</v>
      </c>
      <c r="F5" s="21" t="str">
        <f aca="false">IF(AND(D5&gt;=4,E5&gt;=4),"Manage closely",IF(D5&gt;=4,"Keep satisfied",IF(E5&gt;=4,"Keep informed","Monitor")))</f>
        <v>Manage closely</v>
      </c>
      <c r="G5" s="5" t="s">
        <v>324</v>
      </c>
      <c r="H5" s="20" t="s">
        <v>325</v>
      </c>
      <c r="I5" s="20" t="s">
        <v>326</v>
      </c>
      <c r="J5" s="5" t="s">
        <v>327</v>
      </c>
      <c r="K5" s="20" t="s">
        <v>328</v>
      </c>
    </row>
    <row r="6" customFormat="false" ht="43.5" hidden="false" customHeight="true" outlineLevel="0" collapsed="false">
      <c r="A6" s="20" t="s">
        <v>329</v>
      </c>
      <c r="B6" s="5" t="s">
        <v>330</v>
      </c>
      <c r="C6" s="5" t="s">
        <v>331</v>
      </c>
      <c r="D6" s="21" t="n">
        <v>5</v>
      </c>
      <c r="E6" s="21" t="n">
        <v>4</v>
      </c>
      <c r="F6" s="21" t="str">
        <f aca="false">IF(AND(D6&gt;=4,E6&gt;=4),"Manage closely",IF(D6&gt;=4,"Keep satisfied",IF(E6&gt;=4,"Keep informed","Monitor")))</f>
        <v>Manage closely</v>
      </c>
      <c r="G6" s="5" t="s">
        <v>332</v>
      </c>
      <c r="H6" s="20" t="s">
        <v>325</v>
      </c>
      <c r="I6" s="20" t="s">
        <v>326</v>
      </c>
      <c r="J6" s="5" t="s">
        <v>333</v>
      </c>
      <c r="K6" s="20" t="s">
        <v>334</v>
      </c>
    </row>
    <row r="7" customFormat="false" ht="43.5" hidden="false" customHeight="true" outlineLevel="0" collapsed="false">
      <c r="A7" s="20" t="s">
        <v>335</v>
      </c>
      <c r="B7" s="5" t="s">
        <v>336</v>
      </c>
      <c r="C7" s="5" t="s">
        <v>337</v>
      </c>
      <c r="D7" s="21" t="n">
        <v>4</v>
      </c>
      <c r="E7" s="21" t="n">
        <v>5</v>
      </c>
      <c r="F7" s="21" t="str">
        <f aca="false">IF(AND(D7&gt;=4,E7&gt;=4),"Manage closely",IF(D7&gt;=4,"Keep satisfied",IF(E7&gt;=4,"Keep informed","Monitor")))</f>
        <v>Manage closely</v>
      </c>
      <c r="G7" s="5" t="s">
        <v>338</v>
      </c>
      <c r="H7" s="20" t="s">
        <v>339</v>
      </c>
      <c r="I7" s="20" t="s">
        <v>325</v>
      </c>
      <c r="J7" s="5" t="s">
        <v>340</v>
      </c>
      <c r="K7" s="20" t="s">
        <v>341</v>
      </c>
    </row>
    <row r="8" customFormat="false" ht="43.5" hidden="false" customHeight="true" outlineLevel="0" collapsed="false">
      <c r="A8" s="20" t="s">
        <v>342</v>
      </c>
      <c r="B8" s="5" t="s">
        <v>343</v>
      </c>
      <c r="C8" s="5" t="s">
        <v>344</v>
      </c>
      <c r="D8" s="21" t="n">
        <v>4</v>
      </c>
      <c r="E8" s="21" t="n">
        <v>3</v>
      </c>
      <c r="F8" s="21" t="str">
        <f aca="false">IF(AND(D8&gt;=4,E8&gt;=4),"Manage closely",IF(D8&gt;=4,"Keep satisfied",IF(E8&gt;=4,"Keep informed","Monitor")))</f>
        <v>Keep satisfied</v>
      </c>
      <c r="G8" s="5" t="s">
        <v>345</v>
      </c>
      <c r="H8" s="20" t="s">
        <v>346</v>
      </c>
      <c r="I8" s="20" t="s">
        <v>339</v>
      </c>
      <c r="J8" s="5" t="s">
        <v>347</v>
      </c>
      <c r="K8" s="20" t="s">
        <v>348</v>
      </c>
    </row>
    <row r="9" customFormat="false" ht="43.5" hidden="false" customHeight="true" outlineLevel="0" collapsed="false">
      <c r="A9" s="20" t="s">
        <v>349</v>
      </c>
      <c r="B9" s="5" t="s">
        <v>350</v>
      </c>
      <c r="C9" s="5" t="s">
        <v>351</v>
      </c>
      <c r="D9" s="21" t="n">
        <v>2</v>
      </c>
      <c r="E9" s="21" t="n">
        <v>5</v>
      </c>
      <c r="F9" s="21" t="str">
        <f aca="false">IF(AND(D9&gt;=4,E9&gt;=4),"Manage closely",IF(D9&gt;=4,"Keep satisfied",IF(E9&gt;=4,"Keep informed","Monitor")))</f>
        <v>Keep informed</v>
      </c>
      <c r="G9" s="5" t="s">
        <v>352</v>
      </c>
      <c r="H9" s="20" t="s">
        <v>353</v>
      </c>
      <c r="I9" s="20" t="s">
        <v>325</v>
      </c>
      <c r="J9" s="5" t="s">
        <v>354</v>
      </c>
      <c r="K9" s="20" t="s">
        <v>355</v>
      </c>
    </row>
    <row r="10" customFormat="false" ht="43.5" hidden="false" customHeight="true" outlineLevel="0" collapsed="false">
      <c r="A10" s="20" t="s">
        <v>356</v>
      </c>
      <c r="B10" s="5" t="s">
        <v>357</v>
      </c>
      <c r="C10" s="5" t="s">
        <v>358</v>
      </c>
      <c r="D10" s="21" t="n">
        <v>3</v>
      </c>
      <c r="E10" s="21" t="n">
        <v>4</v>
      </c>
      <c r="F10" s="21" t="str">
        <f aca="false">IF(AND(D10&gt;=4,E10&gt;=4),"Manage closely",IF(D10&gt;=4,"Keep satisfied",IF(E10&gt;=4,"Keep informed","Monitor")))</f>
        <v>Keep informed</v>
      </c>
      <c r="G10" s="5" t="s">
        <v>359</v>
      </c>
      <c r="H10" s="20" t="s">
        <v>339</v>
      </c>
      <c r="I10" s="20" t="s">
        <v>325</v>
      </c>
      <c r="J10" s="5" t="s">
        <v>360</v>
      </c>
      <c r="K10" s="20" t="s">
        <v>361</v>
      </c>
    </row>
    <row r="11" customFormat="false" ht="43.5" hidden="false" customHeight="true" outlineLevel="0" collapsed="false">
      <c r="A11" s="20" t="s">
        <v>362</v>
      </c>
      <c r="B11" s="5" t="s">
        <v>363</v>
      </c>
      <c r="C11" s="5" t="s">
        <v>364</v>
      </c>
      <c r="D11" s="21" t="n">
        <v>2</v>
      </c>
      <c r="E11" s="21" t="n">
        <v>3</v>
      </c>
      <c r="F11" s="21" t="str">
        <f aca="false">IF(AND(D11&gt;=4,E11&gt;=4),"Manage closely",IF(D11&gt;=4,"Keep satisfied",IF(E11&gt;=4,"Keep informed","Monitor")))</f>
        <v>Monitor</v>
      </c>
      <c r="G11" s="5" t="s">
        <v>365</v>
      </c>
      <c r="H11" s="20" t="s">
        <v>353</v>
      </c>
      <c r="I11" s="20" t="s">
        <v>339</v>
      </c>
      <c r="J11" s="5" t="s">
        <v>366</v>
      </c>
      <c r="K11" s="20" t="s">
        <v>367</v>
      </c>
    </row>
    <row r="12" customFormat="false" ht="43.5" hidden="false" customHeight="true" outlineLevel="0" collapsed="false">
      <c r="A12" s="20" t="s">
        <v>368</v>
      </c>
      <c r="B12" s="5" t="s">
        <v>369</v>
      </c>
      <c r="C12" s="5" t="s">
        <v>370</v>
      </c>
      <c r="D12" s="21" t="n">
        <v>2</v>
      </c>
      <c r="E12" s="21" t="n">
        <v>4</v>
      </c>
      <c r="F12" s="21" t="str">
        <f aca="false">IF(AND(D12&gt;=4,E12&gt;=4),"Manage closely",IF(D12&gt;=4,"Keep satisfied",IF(E12&gt;=4,"Keep informed","Monitor")))</f>
        <v>Keep informed</v>
      </c>
      <c r="G12" s="5" t="s">
        <v>371</v>
      </c>
      <c r="H12" s="20" t="s">
        <v>372</v>
      </c>
      <c r="I12" s="20" t="s">
        <v>325</v>
      </c>
      <c r="J12" s="5" t="s">
        <v>373</v>
      </c>
      <c r="K12" s="20" t="s">
        <v>374</v>
      </c>
    </row>
    <row r="13" customFormat="false" ht="43.5" hidden="false" customHeight="true" outlineLevel="0" collapsed="false">
      <c r="A13" s="20" t="s">
        <v>375</v>
      </c>
      <c r="B13" s="5" t="s">
        <v>173</v>
      </c>
      <c r="C13" s="5" t="s">
        <v>376</v>
      </c>
      <c r="D13" s="21" t="n">
        <v>4</v>
      </c>
      <c r="E13" s="21" t="n">
        <v>3</v>
      </c>
      <c r="F13" s="21" t="str">
        <f aca="false">IF(AND(D13&gt;=4,E13&gt;=4),"Manage closely",IF(D13&gt;=4,"Keep satisfied",IF(E13&gt;=4,"Keep informed","Monitor")))</f>
        <v>Keep satisfied</v>
      </c>
      <c r="G13" s="5" t="s">
        <v>377</v>
      </c>
      <c r="H13" s="20" t="s">
        <v>339</v>
      </c>
      <c r="I13" s="20" t="s">
        <v>325</v>
      </c>
      <c r="J13" s="5" t="s">
        <v>378</v>
      </c>
      <c r="K13" s="20" t="s">
        <v>328</v>
      </c>
    </row>
    <row r="14" customFormat="false" ht="43.5" hidden="false" customHeight="true" outlineLevel="0" collapsed="false">
      <c r="A14" s="20" t="s">
        <v>379</v>
      </c>
      <c r="B14" s="5" t="s">
        <v>121</v>
      </c>
      <c r="C14" s="5" t="s">
        <v>380</v>
      </c>
      <c r="D14" s="21" t="n">
        <v>4</v>
      </c>
      <c r="E14" s="21" t="n">
        <v>4</v>
      </c>
      <c r="F14" s="21" t="str">
        <f aca="false">IF(AND(D14&gt;=4,E14&gt;=4),"Manage closely",IF(D14&gt;=4,"Keep satisfied",IF(E14&gt;=4,"Keep informed","Monitor")))</f>
        <v>Manage closely</v>
      </c>
      <c r="G14" s="5" t="s">
        <v>381</v>
      </c>
      <c r="H14" s="20" t="s">
        <v>382</v>
      </c>
      <c r="I14" s="20" t="s">
        <v>325</v>
      </c>
      <c r="J14" s="5" t="s">
        <v>383</v>
      </c>
      <c r="K14" s="20" t="s">
        <v>384</v>
      </c>
    </row>
    <row r="15" customFormat="false" ht="43.5" hidden="false" customHeight="true" outlineLevel="0" collapsed="false">
      <c r="A15" s="20" t="s">
        <v>385</v>
      </c>
      <c r="B15" s="5" t="s">
        <v>386</v>
      </c>
      <c r="C15" s="5" t="s">
        <v>387</v>
      </c>
      <c r="D15" s="21" t="n">
        <v>2</v>
      </c>
      <c r="E15" s="21" t="n">
        <v>4</v>
      </c>
      <c r="F15" s="21" t="str">
        <f aca="false">IF(AND(D15&gt;=4,E15&gt;=4),"Manage closely",IF(D15&gt;=4,"Keep satisfied",IF(E15&gt;=4,"Keep informed","Monitor")))</f>
        <v>Keep informed</v>
      </c>
      <c r="G15" s="5" t="s">
        <v>388</v>
      </c>
      <c r="H15" s="20" t="s">
        <v>339</v>
      </c>
      <c r="I15" s="20" t="s">
        <v>325</v>
      </c>
      <c r="J15" s="5" t="s">
        <v>389</v>
      </c>
      <c r="K15" s="20" t="s">
        <v>390</v>
      </c>
    </row>
    <row r="16" customFormat="false" ht="43.5" hidden="false" customHeight="true" outlineLevel="0" collapsed="false">
      <c r="A16" s="20" t="s">
        <v>391</v>
      </c>
      <c r="B16" s="5" t="s">
        <v>392</v>
      </c>
      <c r="C16" s="5" t="s">
        <v>393</v>
      </c>
      <c r="D16" s="21" t="n">
        <v>4</v>
      </c>
      <c r="E16" s="21" t="n">
        <v>2</v>
      </c>
      <c r="F16" s="21" t="str">
        <f aca="false">IF(AND(D16&gt;=4,E16&gt;=4),"Manage closely",IF(D16&gt;=4,"Keep satisfied",IF(E16&gt;=4,"Keep informed","Monitor")))</f>
        <v>Keep satisfied</v>
      </c>
      <c r="G16" s="5" t="s">
        <v>394</v>
      </c>
      <c r="H16" s="20" t="s">
        <v>339</v>
      </c>
      <c r="I16" s="20" t="s">
        <v>325</v>
      </c>
      <c r="J16" s="5" t="s">
        <v>395</v>
      </c>
      <c r="K16" s="20" t="s">
        <v>396</v>
      </c>
    </row>
    <row r="17" customFormat="false" ht="43.5" hidden="false" customHeight="true" outlineLevel="0" collapsed="false">
      <c r="A17" s="20" t="s">
        <v>397</v>
      </c>
      <c r="B17" s="5" t="s">
        <v>398</v>
      </c>
      <c r="C17" s="5" t="s">
        <v>399</v>
      </c>
      <c r="D17" s="21" t="n">
        <v>3</v>
      </c>
      <c r="E17" s="21" t="n">
        <v>4</v>
      </c>
      <c r="F17" s="21" t="str">
        <f aca="false">IF(AND(D17&gt;=4,E17&gt;=4),"Manage closely",IF(D17&gt;=4,"Keep satisfied",IF(E17&gt;=4,"Keep informed","Monitor")))</f>
        <v>Keep informed</v>
      </c>
      <c r="G17" s="5" t="s">
        <v>400</v>
      </c>
      <c r="H17" s="20" t="s">
        <v>325</v>
      </c>
      <c r="I17" s="20" t="s">
        <v>325</v>
      </c>
      <c r="J17" s="5" t="s">
        <v>401</v>
      </c>
      <c r="K17" s="20" t="s">
        <v>396</v>
      </c>
    </row>
    <row r="18" customFormat="false" ht="43.5" hidden="false" customHeight="true" outlineLevel="0" collapsed="false">
      <c r="A18" s="20" t="s">
        <v>402</v>
      </c>
      <c r="B18" s="5" t="s">
        <v>403</v>
      </c>
      <c r="C18" s="5" t="s">
        <v>404</v>
      </c>
      <c r="D18" s="21" t="n">
        <v>5</v>
      </c>
      <c r="E18" s="21" t="n">
        <v>1</v>
      </c>
      <c r="F18" s="21" t="str">
        <f aca="false">IF(AND(D18&gt;=4,E18&gt;=4),"Manage closely",IF(D18&gt;=4,"Keep satisfied",IF(E18&gt;=4,"Keep informed","Monitor")))</f>
        <v>Keep satisfied</v>
      </c>
      <c r="G18" s="5" t="s">
        <v>405</v>
      </c>
      <c r="H18" s="20" t="s">
        <v>353</v>
      </c>
      <c r="I18" s="20" t="s">
        <v>339</v>
      </c>
      <c r="J18" s="5" t="s">
        <v>406</v>
      </c>
      <c r="K18" s="20" t="s">
        <v>407</v>
      </c>
    </row>
    <row r="20" customFormat="false" ht="15" hidden="false" customHeight="false" outlineLevel="0" collapsed="false">
      <c r="B20" s="0" t="s">
        <v>408</v>
      </c>
      <c r="C20" s="0" t="n">
        <f aca="false">COUNTIF(F5:F18,B20)</f>
        <v>4</v>
      </c>
    </row>
    <row r="21" customFormat="false" ht="15" hidden="false" customHeight="false" outlineLevel="0" collapsed="false">
      <c r="B21" s="0" t="s">
        <v>409</v>
      </c>
      <c r="C21" s="0" t="n">
        <f aca="false">COUNTIF(F5:F18,B21)</f>
        <v>4</v>
      </c>
    </row>
    <row r="22" customFormat="false" ht="15" hidden="false" customHeight="false" outlineLevel="0" collapsed="false">
      <c r="B22" s="0" t="s">
        <v>410</v>
      </c>
      <c r="C22" s="0" t="n">
        <f aca="false">COUNTIF(F5:F18,B22)</f>
        <v>5</v>
      </c>
    </row>
    <row r="23" customFormat="false" ht="15" hidden="false" customHeight="false" outlineLevel="0" collapsed="false">
      <c r="B23" s="0" t="s">
        <v>411</v>
      </c>
      <c r="C23" s="0" t="n">
        <f aca="false">COUNTIF(F5:F18,B23)</f>
        <v>1</v>
      </c>
    </row>
  </sheetData>
  <conditionalFormatting sqref="F5:F18">
    <cfRule type="cellIs" priority="2" operator="equal" aboveAverage="0" equalAverage="0" bottom="0" percent="0" rank="0" text="" dxfId="0">
      <formula>"Manage closely"</formula>
    </cfRule>
    <cfRule type="cellIs" priority="3" operator="equal" aboveAverage="0" equalAverage="0" bottom="0" percent="0" rank="0" text="" dxfId="0">
      <formula>"Keep satisfied"</formula>
    </cfRule>
    <cfRule type="cellIs" priority="4" operator="equal" aboveAverage="0" equalAverage="0" bottom="0" percent="0" rank="0" text="" dxfId="0">
      <formula>"Keep informed"</formula>
    </cfRule>
    <cfRule type="cellIs" priority="5" operator="equal" aboveAverage="0" equalAverage="0" bottom="0" percent="0" rank="0" text="" dxfId="0">
      <formula>"Monitor"</formula>
    </cfRule>
  </conditionalFormatting>
  <dataValidations count="1">
    <dataValidation allowBlank="false" errorStyle="stop" operator="between" showDropDown="false" showErrorMessage="false" showInputMessage="false" sqref="D5:E18" type="whole">
      <formula1>1</formula1>
      <formula2>5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6" min="5" style="0" width="20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8.55" hidden="false" customHeight="false" outlineLevel="0" collapsed="false">
      <c r="A1" s="19" t="s">
        <v>412</v>
      </c>
    </row>
    <row r="2" customFormat="false" ht="15" hidden="false" customHeight="false" outlineLevel="0" collapsed="false">
      <c r="A2" s="7" t="s">
        <v>222</v>
      </c>
    </row>
    <row r="4" customFormat="false" ht="31.5" hidden="false" customHeight="true" outlineLevel="0" collapsed="false">
      <c r="A4" s="3" t="s">
        <v>45</v>
      </c>
      <c r="B4" s="3" t="s">
        <v>413</v>
      </c>
      <c r="C4" s="3" t="s">
        <v>414</v>
      </c>
      <c r="D4" s="3" t="s">
        <v>415</v>
      </c>
      <c r="E4" s="3" t="s">
        <v>416</v>
      </c>
      <c r="F4" s="3" t="s">
        <v>86</v>
      </c>
      <c r="G4" s="3" t="s">
        <v>417</v>
      </c>
      <c r="H4" s="3" t="s">
        <v>418</v>
      </c>
    </row>
    <row r="5" customFormat="false" ht="31.5" hidden="false" customHeight="true" outlineLevel="0" collapsed="false">
      <c r="A5" s="20" t="s">
        <v>419</v>
      </c>
      <c r="B5" s="5" t="s">
        <v>420</v>
      </c>
      <c r="C5" s="5" t="s">
        <v>421</v>
      </c>
      <c r="D5" s="5" t="s">
        <v>422</v>
      </c>
      <c r="E5" s="5" t="s">
        <v>423</v>
      </c>
      <c r="F5" s="20" t="s">
        <v>129</v>
      </c>
      <c r="G5" s="5" t="s">
        <v>424</v>
      </c>
      <c r="H5" s="5" t="s">
        <v>425</v>
      </c>
    </row>
    <row r="6" customFormat="false" ht="31.5" hidden="false" customHeight="true" outlineLevel="0" collapsed="false">
      <c r="A6" s="20" t="s">
        <v>426</v>
      </c>
      <c r="B6" s="5" t="s">
        <v>427</v>
      </c>
      <c r="C6" s="5" t="s">
        <v>428</v>
      </c>
      <c r="D6" s="5" t="s">
        <v>429</v>
      </c>
      <c r="E6" s="5" t="s">
        <v>430</v>
      </c>
      <c r="F6" s="20" t="s">
        <v>129</v>
      </c>
      <c r="G6" s="5" t="s">
        <v>431</v>
      </c>
      <c r="H6" s="5" t="s">
        <v>432</v>
      </c>
    </row>
    <row r="7" customFormat="false" ht="31.5" hidden="false" customHeight="true" outlineLevel="0" collapsed="false">
      <c r="A7" s="20" t="s">
        <v>390</v>
      </c>
      <c r="B7" s="5" t="s">
        <v>433</v>
      </c>
      <c r="C7" s="5" t="s">
        <v>434</v>
      </c>
      <c r="D7" s="5" t="s">
        <v>435</v>
      </c>
      <c r="E7" s="5" t="s">
        <v>436</v>
      </c>
      <c r="F7" s="20" t="s">
        <v>138</v>
      </c>
      <c r="G7" s="5" t="s">
        <v>437</v>
      </c>
      <c r="H7" s="5" t="s">
        <v>438</v>
      </c>
    </row>
    <row r="8" customFormat="false" ht="31.5" hidden="false" customHeight="true" outlineLevel="0" collapsed="false">
      <c r="A8" s="20" t="s">
        <v>439</v>
      </c>
      <c r="B8" s="5" t="s">
        <v>440</v>
      </c>
      <c r="C8" s="5" t="s">
        <v>441</v>
      </c>
      <c r="D8" s="5" t="s">
        <v>442</v>
      </c>
      <c r="E8" s="5" t="s">
        <v>443</v>
      </c>
      <c r="F8" s="20" t="s">
        <v>166</v>
      </c>
      <c r="G8" s="5" t="s">
        <v>444</v>
      </c>
      <c r="H8" s="5" t="s">
        <v>445</v>
      </c>
    </row>
    <row r="9" customFormat="false" ht="31.5" hidden="false" customHeight="true" outlineLevel="0" collapsed="false">
      <c r="A9" s="20" t="s">
        <v>446</v>
      </c>
      <c r="B9" s="5" t="s">
        <v>447</v>
      </c>
      <c r="C9" s="5" t="s">
        <v>448</v>
      </c>
      <c r="D9" s="5" t="s">
        <v>449</v>
      </c>
      <c r="E9" s="5" t="s">
        <v>450</v>
      </c>
      <c r="F9" s="20" t="s">
        <v>129</v>
      </c>
      <c r="G9" s="5" t="s">
        <v>451</v>
      </c>
      <c r="H9" s="5" t="s">
        <v>452</v>
      </c>
    </row>
    <row r="10" customFormat="false" ht="31.5" hidden="false" customHeight="true" outlineLevel="0" collapsed="false">
      <c r="A10" s="20" t="s">
        <v>453</v>
      </c>
      <c r="B10" s="5" t="s">
        <v>454</v>
      </c>
      <c r="C10" s="5" t="s">
        <v>455</v>
      </c>
      <c r="D10" s="5" t="s">
        <v>456</v>
      </c>
      <c r="E10" s="5" t="s">
        <v>457</v>
      </c>
      <c r="F10" s="20" t="s">
        <v>104</v>
      </c>
      <c r="G10" s="5" t="s">
        <v>458</v>
      </c>
      <c r="H10" s="5" t="s">
        <v>459</v>
      </c>
    </row>
    <row r="11" customFormat="false" ht="31.5" hidden="false" customHeight="true" outlineLevel="0" collapsed="false">
      <c r="A11" s="20" t="s">
        <v>396</v>
      </c>
      <c r="B11" s="5" t="s">
        <v>460</v>
      </c>
      <c r="C11" s="5" t="s">
        <v>461</v>
      </c>
      <c r="D11" s="5" t="s">
        <v>462</v>
      </c>
      <c r="E11" s="5" t="s">
        <v>463</v>
      </c>
      <c r="F11" s="20" t="s">
        <v>113</v>
      </c>
      <c r="G11" s="5" t="s">
        <v>464</v>
      </c>
      <c r="H11" s="5" t="s">
        <v>465</v>
      </c>
    </row>
    <row r="12" customFormat="false" ht="31.5" hidden="false" customHeight="true" outlineLevel="0" collapsed="false">
      <c r="A12" s="20" t="s">
        <v>466</v>
      </c>
      <c r="B12" s="5" t="s">
        <v>467</v>
      </c>
      <c r="C12" s="5" t="s">
        <v>468</v>
      </c>
      <c r="D12" s="5" t="s">
        <v>469</v>
      </c>
      <c r="E12" s="5" t="s">
        <v>470</v>
      </c>
      <c r="F12" s="20" t="s">
        <v>166</v>
      </c>
      <c r="G12" s="5" t="s">
        <v>471</v>
      </c>
      <c r="H12" s="5" t="s">
        <v>472</v>
      </c>
    </row>
    <row r="13" customFormat="false" ht="31.5" hidden="false" customHeight="true" outlineLevel="0" collapsed="false">
      <c r="A13" s="20" t="s">
        <v>473</v>
      </c>
      <c r="B13" s="5" t="s">
        <v>474</v>
      </c>
      <c r="C13" s="5" t="s">
        <v>475</v>
      </c>
      <c r="D13" s="5" t="s">
        <v>476</v>
      </c>
      <c r="E13" s="5" t="s">
        <v>477</v>
      </c>
      <c r="F13" s="20" t="s">
        <v>129</v>
      </c>
      <c r="G13" s="5" t="s">
        <v>478</v>
      </c>
      <c r="H13" s="5" t="s">
        <v>368</v>
      </c>
    </row>
    <row r="14" customFormat="false" ht="31.5" hidden="false" customHeight="true" outlineLevel="0" collapsed="false">
      <c r="A14" s="20" t="s">
        <v>407</v>
      </c>
      <c r="B14" s="5" t="s">
        <v>479</v>
      </c>
      <c r="C14" s="5" t="s">
        <v>480</v>
      </c>
      <c r="D14" s="5" t="s">
        <v>481</v>
      </c>
      <c r="E14" s="5" t="s">
        <v>482</v>
      </c>
      <c r="F14" s="20" t="s">
        <v>336</v>
      </c>
      <c r="G14" s="5" t="s">
        <v>483</v>
      </c>
      <c r="H14" s="5" t="s">
        <v>402</v>
      </c>
    </row>
    <row r="15" customFormat="false" ht="31.5" hidden="false" customHeight="true" outlineLevel="0" collapsed="false">
      <c r="A15" s="20" t="s">
        <v>367</v>
      </c>
      <c r="B15" s="5" t="s">
        <v>484</v>
      </c>
      <c r="C15" s="5" t="s">
        <v>485</v>
      </c>
      <c r="D15" s="5" t="s">
        <v>486</v>
      </c>
      <c r="E15" s="5" t="s">
        <v>487</v>
      </c>
      <c r="F15" s="20" t="s">
        <v>129</v>
      </c>
      <c r="G15" s="5" t="s">
        <v>488</v>
      </c>
      <c r="H15" s="5" t="s">
        <v>489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12" min="3" style="0" width="11"/>
    <col collapsed="false" customWidth="true" hidden="false" outlineLevel="0" max="13" min="13" style="0" width="5"/>
    <col collapsed="false" customWidth="true" hidden="false" outlineLevel="0" max="14" min="14" style="0" width="9"/>
  </cols>
  <sheetData>
    <row r="1" customFormat="false" ht="18.55" hidden="false" customHeight="false" outlineLevel="0" collapsed="false">
      <c r="A1" s="19" t="s">
        <v>490</v>
      </c>
    </row>
    <row r="2" customFormat="false" ht="15" hidden="false" customHeight="false" outlineLevel="0" collapsed="false">
      <c r="A2" s="7" t="s">
        <v>491</v>
      </c>
    </row>
    <row r="4" customFormat="false" ht="31.5" hidden="false" customHeight="true" outlineLevel="0" collapsed="false">
      <c r="A4" s="3" t="s">
        <v>492</v>
      </c>
      <c r="B4" s="3" t="s">
        <v>223</v>
      </c>
      <c r="C4" s="3" t="s">
        <v>493</v>
      </c>
      <c r="D4" s="3" t="s">
        <v>129</v>
      </c>
      <c r="E4" s="3" t="s">
        <v>494</v>
      </c>
      <c r="F4" s="3" t="s">
        <v>113</v>
      </c>
      <c r="G4" s="3" t="s">
        <v>138</v>
      </c>
      <c r="H4" s="3" t="s">
        <v>104</v>
      </c>
      <c r="I4" s="3" t="s">
        <v>495</v>
      </c>
      <c r="J4" s="3" t="s">
        <v>158</v>
      </c>
      <c r="K4" s="3" t="s">
        <v>166</v>
      </c>
      <c r="L4" s="3" t="s">
        <v>121</v>
      </c>
      <c r="M4" s="3" t="s">
        <v>496</v>
      </c>
      <c r="N4" s="3" t="s">
        <v>497</v>
      </c>
    </row>
    <row r="5" customFormat="false" ht="15" hidden="false" customHeight="false" outlineLevel="0" collapsed="false">
      <c r="A5" s="5" t="s">
        <v>498</v>
      </c>
      <c r="B5" s="5" t="s">
        <v>499</v>
      </c>
      <c r="C5" s="40" t="s">
        <v>500</v>
      </c>
      <c r="D5" s="40" t="s">
        <v>501</v>
      </c>
      <c r="E5" s="40" t="s">
        <v>502</v>
      </c>
      <c r="F5" s="40" t="s">
        <v>84</v>
      </c>
      <c r="G5" s="40" t="s">
        <v>84</v>
      </c>
      <c r="H5" s="40" t="s">
        <v>84</v>
      </c>
      <c r="I5" s="40" t="s">
        <v>84</v>
      </c>
      <c r="J5" s="40" t="s">
        <v>84</v>
      </c>
      <c r="K5" s="40" t="s">
        <v>84</v>
      </c>
      <c r="L5" s="40" t="s">
        <v>502</v>
      </c>
      <c r="M5" s="20" t="n">
        <f aca="false">COUNTIF(C5:L5,"A")</f>
        <v>1</v>
      </c>
      <c r="N5" s="21" t="str">
        <f aca="false">IF(COUNTIF(C5:L5,"A")=1,"OK","FIX")</f>
        <v>OK</v>
      </c>
    </row>
    <row r="6" customFormat="false" ht="23.85" hidden="false" customHeight="false" outlineLevel="0" collapsed="false">
      <c r="A6" s="5" t="s">
        <v>503</v>
      </c>
      <c r="B6" s="5" t="s">
        <v>504</v>
      </c>
      <c r="C6" s="40" t="s">
        <v>84</v>
      </c>
      <c r="D6" s="40" t="s">
        <v>500</v>
      </c>
      <c r="E6" s="40" t="s">
        <v>501</v>
      </c>
      <c r="F6" s="40" t="s">
        <v>502</v>
      </c>
      <c r="G6" s="40" t="s">
        <v>502</v>
      </c>
      <c r="H6" s="40" t="s">
        <v>502</v>
      </c>
      <c r="I6" s="40" t="s">
        <v>502</v>
      </c>
      <c r="J6" s="40" t="s">
        <v>84</v>
      </c>
      <c r="K6" s="40" t="s">
        <v>502</v>
      </c>
      <c r="L6" s="40" t="s">
        <v>84</v>
      </c>
      <c r="M6" s="20" t="n">
        <f aca="false">COUNTIF(C6:L6,"A")</f>
        <v>1</v>
      </c>
      <c r="N6" s="21" t="str">
        <f aca="false">IF(COUNTIF(C6:L6,"A")=1,"OK","FIX")</f>
        <v>OK</v>
      </c>
    </row>
    <row r="7" customFormat="false" ht="15" hidden="false" customHeight="false" outlineLevel="0" collapsed="false">
      <c r="A7" s="5" t="s">
        <v>505</v>
      </c>
      <c r="B7" s="5" t="s">
        <v>506</v>
      </c>
      <c r="C7" s="40" t="s">
        <v>84</v>
      </c>
      <c r="D7" s="40" t="s">
        <v>502</v>
      </c>
      <c r="E7" s="40" t="s">
        <v>500</v>
      </c>
      <c r="F7" s="40" t="s">
        <v>502</v>
      </c>
      <c r="G7" s="40" t="s">
        <v>502</v>
      </c>
      <c r="H7" s="40" t="s">
        <v>501</v>
      </c>
      <c r="I7" s="40" t="s">
        <v>84</v>
      </c>
      <c r="J7" s="40" t="s">
        <v>501</v>
      </c>
      <c r="K7" s="40" t="s">
        <v>502</v>
      </c>
      <c r="L7" s="40" t="s">
        <v>502</v>
      </c>
      <c r="M7" s="20" t="n">
        <f aca="false">COUNTIF(C7:L7,"A")</f>
        <v>1</v>
      </c>
      <c r="N7" s="21" t="str">
        <f aca="false">IF(COUNTIF(C7:L7,"A")=1,"OK","FIX")</f>
        <v>OK</v>
      </c>
    </row>
    <row r="8" customFormat="false" ht="15" hidden="false" customHeight="false" outlineLevel="0" collapsed="false">
      <c r="A8" s="5" t="s">
        <v>507</v>
      </c>
      <c r="B8" s="5" t="s">
        <v>508</v>
      </c>
      <c r="C8" s="40" t="s">
        <v>84</v>
      </c>
      <c r="D8" s="40" t="s">
        <v>502</v>
      </c>
      <c r="E8" s="40" t="s">
        <v>502</v>
      </c>
      <c r="F8" s="40" t="s">
        <v>500</v>
      </c>
      <c r="G8" s="40" t="s">
        <v>501</v>
      </c>
      <c r="H8" s="40" t="s">
        <v>502</v>
      </c>
      <c r="I8" s="40" t="s">
        <v>84</v>
      </c>
      <c r="J8" s="40" t="s">
        <v>502</v>
      </c>
      <c r="K8" s="40" t="s">
        <v>84</v>
      </c>
      <c r="L8" s="40" t="s">
        <v>502</v>
      </c>
      <c r="M8" s="20" t="n">
        <f aca="false">COUNTIF(C8:L8,"A")</f>
        <v>1</v>
      </c>
      <c r="N8" s="21" t="str">
        <f aca="false">IF(COUNTIF(C8:L8,"A")=1,"OK","FIX")</f>
        <v>OK</v>
      </c>
    </row>
    <row r="9" customFormat="false" ht="15" hidden="false" customHeight="false" outlineLevel="0" collapsed="false">
      <c r="A9" s="5" t="s">
        <v>509</v>
      </c>
      <c r="B9" s="5" t="s">
        <v>510</v>
      </c>
      <c r="C9" s="40" t="s">
        <v>84</v>
      </c>
      <c r="D9" s="40" t="s">
        <v>502</v>
      </c>
      <c r="E9" s="40" t="s">
        <v>501</v>
      </c>
      <c r="F9" s="40" t="s">
        <v>502</v>
      </c>
      <c r="G9" s="40" t="s">
        <v>84</v>
      </c>
      <c r="H9" s="40" t="s">
        <v>502</v>
      </c>
      <c r="I9" s="40" t="s">
        <v>84</v>
      </c>
      <c r="J9" s="40" t="s">
        <v>84</v>
      </c>
      <c r="K9" s="40" t="s">
        <v>84</v>
      </c>
      <c r="L9" s="40" t="s">
        <v>500</v>
      </c>
      <c r="M9" s="20" t="n">
        <f aca="false">COUNTIF(C9:L9,"A")</f>
        <v>1</v>
      </c>
      <c r="N9" s="21" t="str">
        <f aca="false">IF(COUNTIF(C9:L9,"A")=1,"OK","FIX")</f>
        <v>OK</v>
      </c>
    </row>
    <row r="10" customFormat="false" ht="15" hidden="false" customHeight="false" outlineLevel="0" collapsed="false">
      <c r="A10" s="5" t="s">
        <v>511</v>
      </c>
      <c r="B10" s="5" t="s">
        <v>157</v>
      </c>
      <c r="C10" s="40" t="s">
        <v>84</v>
      </c>
      <c r="D10" s="40" t="s">
        <v>84</v>
      </c>
      <c r="E10" s="40" t="s">
        <v>502</v>
      </c>
      <c r="F10" s="40" t="s">
        <v>84</v>
      </c>
      <c r="G10" s="40" t="s">
        <v>502</v>
      </c>
      <c r="H10" s="40" t="s">
        <v>84</v>
      </c>
      <c r="I10" s="40" t="s">
        <v>501</v>
      </c>
      <c r="J10" s="40" t="s">
        <v>500</v>
      </c>
      <c r="K10" s="40" t="s">
        <v>502</v>
      </c>
      <c r="L10" s="40" t="s">
        <v>84</v>
      </c>
      <c r="M10" s="20" t="n">
        <f aca="false">COUNTIF(C10:L10,"A")</f>
        <v>1</v>
      </c>
      <c r="N10" s="21" t="str">
        <f aca="false">IF(COUNTIF(C10:L10,"A")=1,"OK","FIX")</f>
        <v>OK</v>
      </c>
    </row>
    <row r="11" customFormat="false" ht="23.85" hidden="false" customHeight="false" outlineLevel="0" collapsed="false">
      <c r="A11" s="5" t="s">
        <v>512</v>
      </c>
      <c r="B11" s="5" t="s">
        <v>513</v>
      </c>
      <c r="C11" s="40" t="s">
        <v>84</v>
      </c>
      <c r="D11" s="40" t="s">
        <v>502</v>
      </c>
      <c r="E11" s="40" t="s">
        <v>501</v>
      </c>
      <c r="F11" s="40" t="s">
        <v>502</v>
      </c>
      <c r="G11" s="40" t="s">
        <v>500</v>
      </c>
      <c r="H11" s="40" t="s">
        <v>84</v>
      </c>
      <c r="I11" s="40" t="s">
        <v>501</v>
      </c>
      <c r="J11" s="40" t="s">
        <v>501</v>
      </c>
      <c r="K11" s="40" t="s">
        <v>84</v>
      </c>
      <c r="L11" s="40" t="s">
        <v>84</v>
      </c>
      <c r="M11" s="20" t="n">
        <f aca="false">COUNTIF(C11:L11,"A")</f>
        <v>1</v>
      </c>
      <c r="N11" s="21" t="str">
        <f aca="false">IF(COUNTIF(C11:L11,"A")=1,"OK","FIX")</f>
        <v>OK</v>
      </c>
    </row>
    <row r="12" customFormat="false" ht="15" hidden="false" customHeight="false" outlineLevel="0" collapsed="false">
      <c r="A12" s="5" t="s">
        <v>514</v>
      </c>
      <c r="B12" s="5" t="s">
        <v>515</v>
      </c>
      <c r="C12" s="40" t="s">
        <v>84</v>
      </c>
      <c r="D12" s="40" t="s">
        <v>84</v>
      </c>
      <c r="E12" s="40" t="s">
        <v>502</v>
      </c>
      <c r="F12" s="40" t="s">
        <v>500</v>
      </c>
      <c r="G12" s="40" t="s">
        <v>501</v>
      </c>
      <c r="H12" s="40" t="s">
        <v>502</v>
      </c>
      <c r="I12" s="40" t="s">
        <v>501</v>
      </c>
      <c r="J12" s="40" t="s">
        <v>84</v>
      </c>
      <c r="K12" s="40" t="s">
        <v>84</v>
      </c>
      <c r="L12" s="40" t="s">
        <v>84</v>
      </c>
      <c r="M12" s="20" t="n">
        <f aca="false">COUNTIF(C12:L12,"A")</f>
        <v>1</v>
      </c>
      <c r="N12" s="21" t="str">
        <f aca="false">IF(COUNTIF(C12:L12,"A")=1,"OK","FIX")</f>
        <v>OK</v>
      </c>
    </row>
    <row r="13" customFormat="false" ht="23.85" hidden="false" customHeight="false" outlineLevel="0" collapsed="false">
      <c r="A13" s="5" t="s">
        <v>516</v>
      </c>
      <c r="B13" s="5" t="s">
        <v>517</v>
      </c>
      <c r="C13" s="40" t="s">
        <v>84</v>
      </c>
      <c r="D13" s="40" t="s">
        <v>502</v>
      </c>
      <c r="E13" s="40" t="s">
        <v>501</v>
      </c>
      <c r="F13" s="40" t="s">
        <v>502</v>
      </c>
      <c r="G13" s="40" t="s">
        <v>502</v>
      </c>
      <c r="H13" s="40" t="s">
        <v>500</v>
      </c>
      <c r="I13" s="40" t="s">
        <v>501</v>
      </c>
      <c r="J13" s="40" t="s">
        <v>84</v>
      </c>
      <c r="K13" s="40" t="s">
        <v>84</v>
      </c>
      <c r="L13" s="40" t="s">
        <v>502</v>
      </c>
      <c r="M13" s="20" t="n">
        <f aca="false">COUNTIF(C13:L13,"A")</f>
        <v>1</v>
      </c>
      <c r="N13" s="21" t="str">
        <f aca="false">IF(COUNTIF(C13:L13,"A")=1,"OK","FIX")</f>
        <v>OK</v>
      </c>
    </row>
    <row r="14" customFormat="false" ht="23.85" hidden="false" customHeight="false" outlineLevel="0" collapsed="false">
      <c r="A14" s="5" t="s">
        <v>518</v>
      </c>
      <c r="B14" s="5" t="s">
        <v>519</v>
      </c>
      <c r="C14" s="40" t="s">
        <v>84</v>
      </c>
      <c r="D14" s="40" t="s">
        <v>502</v>
      </c>
      <c r="E14" s="40" t="s">
        <v>501</v>
      </c>
      <c r="F14" s="40" t="s">
        <v>502</v>
      </c>
      <c r="G14" s="40" t="s">
        <v>501</v>
      </c>
      <c r="H14" s="40" t="s">
        <v>502</v>
      </c>
      <c r="I14" s="40" t="s">
        <v>500</v>
      </c>
      <c r="J14" s="40" t="s">
        <v>502</v>
      </c>
      <c r="K14" s="40" t="s">
        <v>502</v>
      </c>
      <c r="L14" s="40" t="s">
        <v>502</v>
      </c>
      <c r="M14" s="20" t="n">
        <f aca="false">COUNTIF(C14:L14,"A")</f>
        <v>1</v>
      </c>
      <c r="N14" s="21" t="str">
        <f aca="false">IF(COUNTIF(C14:L14,"A")=1,"OK","FIX")</f>
        <v>OK</v>
      </c>
    </row>
    <row r="15" customFormat="false" ht="15" hidden="false" customHeight="false" outlineLevel="0" collapsed="false">
      <c r="A15" s="5" t="s">
        <v>520</v>
      </c>
      <c r="B15" s="5" t="s">
        <v>521</v>
      </c>
      <c r="C15" s="40" t="s">
        <v>502</v>
      </c>
      <c r="D15" s="40" t="s">
        <v>500</v>
      </c>
      <c r="E15" s="40" t="s">
        <v>502</v>
      </c>
      <c r="F15" s="40" t="s">
        <v>501</v>
      </c>
      <c r="G15" s="40" t="s">
        <v>501</v>
      </c>
      <c r="H15" s="40" t="s">
        <v>501</v>
      </c>
      <c r="I15" s="40" t="s">
        <v>502</v>
      </c>
      <c r="J15" s="40" t="s">
        <v>84</v>
      </c>
      <c r="K15" s="40" t="s">
        <v>501</v>
      </c>
      <c r="L15" s="40" t="s">
        <v>84</v>
      </c>
      <c r="M15" s="20" t="n">
        <f aca="false">COUNTIF(C15:L15,"A")</f>
        <v>1</v>
      </c>
      <c r="N15" s="21" t="str">
        <f aca="false">IF(COUNTIF(C15:L15,"A")=1,"OK","FIX")</f>
        <v>OK</v>
      </c>
    </row>
    <row r="16" customFormat="false" ht="15" hidden="false" customHeight="false" outlineLevel="0" collapsed="false">
      <c r="A16" s="5" t="s">
        <v>522</v>
      </c>
      <c r="B16" s="5" t="s">
        <v>523</v>
      </c>
      <c r="C16" s="40" t="s">
        <v>502</v>
      </c>
      <c r="D16" s="40" t="s">
        <v>500</v>
      </c>
      <c r="E16" s="40" t="s">
        <v>501</v>
      </c>
      <c r="F16" s="40" t="s">
        <v>501</v>
      </c>
      <c r="G16" s="40" t="s">
        <v>501</v>
      </c>
      <c r="H16" s="40" t="s">
        <v>501</v>
      </c>
      <c r="I16" s="40" t="s">
        <v>502</v>
      </c>
      <c r="J16" s="40" t="s">
        <v>84</v>
      </c>
      <c r="K16" s="40" t="s">
        <v>501</v>
      </c>
      <c r="L16" s="40" t="s">
        <v>502</v>
      </c>
      <c r="M16" s="20" t="n">
        <f aca="false">COUNTIF(C16:L16,"A")</f>
        <v>1</v>
      </c>
      <c r="N16" s="21" t="str">
        <f aca="false">IF(COUNTIF(C16:L16,"A")=1,"OK","FIX")</f>
        <v>OK</v>
      </c>
    </row>
    <row r="18" customFormat="false" ht="15" hidden="false" customHeight="false" outlineLevel="0" collapsed="false">
      <c r="A18" s="41" t="s">
        <v>524</v>
      </c>
    </row>
  </sheetData>
  <conditionalFormatting sqref="C5:L16">
    <cfRule type="cellIs" priority="2" operator="equal" aboveAverage="0" equalAverage="0" bottom="0" percent="0" rank="0" text="" dxfId="4">
      <formula>"A"</formula>
    </cfRule>
  </conditionalFormatting>
  <conditionalFormatting sqref="N5:N16">
    <cfRule type="cellIs" priority="3" operator="equal" aboveAverage="0" equalAverage="0" bottom="0" percent="0" rank="0" text="" dxfId="0">
      <formula>"OK"</formula>
    </cfRule>
    <cfRule type="cellIs" priority="4" operator="equal" aboveAverage="0" equalAverage="0" bottom="0" percent="0" rank="0" text="" dxfId="0">
      <formula>"FIX"</formula>
    </cfRule>
  </conditionalFormatting>
  <dataValidations count="1">
    <dataValidation allowBlank="true" errorStyle="stop" operator="between" showDropDown="false" showErrorMessage="false" showInputMessage="false" sqref="C5:L16" type="list">
      <formula1>Lookups!$K$5:$K$8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9"/>
    <col collapsed="false" customWidth="true" hidden="false" outlineLevel="0" max="9" min="9" style="0" width="7"/>
  </cols>
  <sheetData>
    <row r="1" customFormat="false" ht="18.55" hidden="false" customHeight="false" outlineLevel="0" collapsed="false">
      <c r="A1" s="19" t="s">
        <v>44</v>
      </c>
    </row>
    <row r="2" customFormat="false" ht="15" hidden="false" customHeight="false" outlineLevel="0" collapsed="false">
      <c r="A2" s="7" t="s">
        <v>222</v>
      </c>
    </row>
    <row r="4" customFormat="false" ht="31.5" hidden="false" customHeight="true" outlineLevel="0" collapsed="false">
      <c r="A4" s="3" t="s">
        <v>45</v>
      </c>
      <c r="B4" s="3" t="s">
        <v>51</v>
      </c>
      <c r="C4" s="3" t="s">
        <v>525</v>
      </c>
      <c r="D4" s="3" t="s">
        <v>526</v>
      </c>
      <c r="E4" s="3" t="s">
        <v>416</v>
      </c>
      <c r="F4" s="3" t="s">
        <v>86</v>
      </c>
      <c r="G4" s="3" t="s">
        <v>527</v>
      </c>
      <c r="H4" s="3" t="s">
        <v>53</v>
      </c>
      <c r="I4" s="3" t="s">
        <v>223</v>
      </c>
    </row>
    <row r="5" customFormat="false" ht="30" hidden="false" customHeight="true" outlineLevel="0" collapsed="false">
      <c r="A5" s="20" t="s">
        <v>528</v>
      </c>
      <c r="B5" s="5" t="s">
        <v>529</v>
      </c>
      <c r="C5" s="5" t="s">
        <v>530</v>
      </c>
      <c r="D5" s="5" t="s">
        <v>531</v>
      </c>
      <c r="E5" s="20" t="s">
        <v>532</v>
      </c>
      <c r="F5" s="20" t="s">
        <v>104</v>
      </c>
      <c r="G5" s="5" t="s">
        <v>533</v>
      </c>
      <c r="H5" s="20" t="s">
        <v>28</v>
      </c>
      <c r="I5" s="20" t="s">
        <v>534</v>
      </c>
    </row>
    <row r="6" customFormat="false" ht="30" hidden="false" customHeight="true" outlineLevel="0" collapsed="false">
      <c r="A6" s="20" t="s">
        <v>535</v>
      </c>
      <c r="B6" s="5" t="s">
        <v>536</v>
      </c>
      <c r="C6" s="5" t="s">
        <v>537</v>
      </c>
      <c r="D6" s="5" t="s">
        <v>538</v>
      </c>
      <c r="E6" s="20" t="s">
        <v>487</v>
      </c>
      <c r="F6" s="20" t="s">
        <v>113</v>
      </c>
      <c r="G6" s="5" t="s">
        <v>539</v>
      </c>
      <c r="H6" s="20" t="s">
        <v>26</v>
      </c>
      <c r="I6" s="20" t="s">
        <v>540</v>
      </c>
    </row>
    <row r="7" customFormat="false" ht="30" hidden="false" customHeight="true" outlineLevel="0" collapsed="false">
      <c r="A7" s="20" t="s">
        <v>541</v>
      </c>
      <c r="B7" s="5" t="s">
        <v>542</v>
      </c>
      <c r="C7" s="5" t="s">
        <v>543</v>
      </c>
      <c r="D7" s="5" t="s">
        <v>544</v>
      </c>
      <c r="E7" s="20" t="s">
        <v>545</v>
      </c>
      <c r="F7" s="20" t="s">
        <v>113</v>
      </c>
      <c r="G7" s="5" t="s">
        <v>546</v>
      </c>
      <c r="H7" s="20" t="s">
        <v>547</v>
      </c>
      <c r="I7" s="20" t="s">
        <v>548</v>
      </c>
    </row>
    <row r="8" customFormat="false" ht="30" hidden="false" customHeight="true" outlineLevel="0" collapsed="false">
      <c r="A8" s="20" t="s">
        <v>549</v>
      </c>
      <c r="B8" s="5" t="s">
        <v>550</v>
      </c>
      <c r="C8" s="5" t="s">
        <v>551</v>
      </c>
      <c r="D8" s="5" t="s">
        <v>552</v>
      </c>
      <c r="E8" s="20" t="s">
        <v>553</v>
      </c>
      <c r="F8" s="20" t="s">
        <v>158</v>
      </c>
      <c r="G8" s="5" t="s">
        <v>554</v>
      </c>
      <c r="H8" s="20" t="s">
        <v>26</v>
      </c>
      <c r="I8" s="20" t="s">
        <v>555</v>
      </c>
    </row>
    <row r="9" customFormat="false" ht="30" hidden="false" customHeight="true" outlineLevel="0" collapsed="false">
      <c r="A9" s="20" t="s">
        <v>556</v>
      </c>
      <c r="B9" s="5" t="s">
        <v>557</v>
      </c>
      <c r="C9" s="5" t="s">
        <v>558</v>
      </c>
      <c r="D9" s="5" t="s">
        <v>559</v>
      </c>
      <c r="E9" s="20" t="s">
        <v>560</v>
      </c>
      <c r="F9" s="20" t="s">
        <v>495</v>
      </c>
      <c r="G9" s="5" t="s">
        <v>561</v>
      </c>
      <c r="H9" s="20" t="s">
        <v>547</v>
      </c>
      <c r="I9" s="20" t="s">
        <v>562</v>
      </c>
    </row>
    <row r="10" customFormat="false" ht="30" hidden="false" customHeight="true" outlineLevel="0" collapsed="false">
      <c r="A10" s="20" t="s">
        <v>563</v>
      </c>
      <c r="B10" s="5" t="s">
        <v>564</v>
      </c>
      <c r="C10" s="5" t="s">
        <v>551</v>
      </c>
      <c r="D10" s="5" t="s">
        <v>565</v>
      </c>
      <c r="E10" s="20" t="s">
        <v>463</v>
      </c>
      <c r="F10" s="20" t="s">
        <v>495</v>
      </c>
      <c r="G10" s="5" t="s">
        <v>566</v>
      </c>
      <c r="H10" s="20" t="s">
        <v>26</v>
      </c>
      <c r="I10" s="20" t="s">
        <v>567</v>
      </c>
    </row>
    <row r="11" customFormat="false" ht="30" hidden="false" customHeight="true" outlineLevel="0" collapsed="false">
      <c r="A11" s="20" t="s">
        <v>568</v>
      </c>
      <c r="B11" s="5" t="s">
        <v>569</v>
      </c>
      <c r="C11" s="5" t="s">
        <v>570</v>
      </c>
      <c r="D11" s="5" t="s">
        <v>571</v>
      </c>
      <c r="E11" s="20" t="s">
        <v>572</v>
      </c>
      <c r="F11" s="20" t="s">
        <v>166</v>
      </c>
      <c r="G11" s="5" t="s">
        <v>573</v>
      </c>
      <c r="H11" s="20" t="s">
        <v>547</v>
      </c>
      <c r="I11" s="20" t="s">
        <v>540</v>
      </c>
    </row>
  </sheetData>
  <conditionalFormatting sqref="H5:H11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0">
      <formula>"Amber"</formula>
    </cfRule>
    <cfRule type="cellIs" priority="4" operator="equal" aboveAverage="0" equalAverage="0" bottom="0" percent="0" rank="0" text="" dxfId="0">
      <formula>"Red"</formula>
    </cfRule>
    <cfRule type="cellIs" priority="5" operator="equal" aboveAverage="0" equalAverage="0" bottom="0" percent="0" rank="0" text="" dxfId="0">
      <formula>"Grey"</formula>
    </cfRule>
  </conditionalFormatting>
  <dataValidations count="1">
    <dataValidation allowBlank="false" errorStyle="stop" operator="between" showDropDown="false" showErrorMessage="false" showInputMessage="false" sqref="H5:H11" type="list">
      <formula1>Lookups!$J$5:$J$8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6" min="3" style="0" width="9"/>
    <col collapsed="false" customWidth="true" hidden="false" outlineLevel="0" max="7" min="7" style="0" width="16"/>
    <col collapsed="false" customWidth="true" hidden="false" outlineLevel="0" max="9" min="9" style="0" width="18"/>
  </cols>
  <sheetData>
    <row r="1" customFormat="false" ht="18.55" hidden="false" customHeight="false" outlineLevel="0" collapsed="false">
      <c r="A1" s="19" t="s">
        <v>574</v>
      </c>
    </row>
    <row r="2" customFormat="false" ht="15" hidden="false" customHeight="false" outlineLevel="0" collapsed="false">
      <c r="A2" s="7" t="s">
        <v>575</v>
      </c>
    </row>
    <row r="4" customFormat="false" ht="31.5" hidden="false" customHeight="true" outlineLevel="0" collapsed="false">
      <c r="A4" s="3" t="s">
        <v>264</v>
      </c>
      <c r="B4" s="3" t="s">
        <v>265</v>
      </c>
      <c r="C4" s="3" t="s">
        <v>576</v>
      </c>
      <c r="D4" s="3" t="s">
        <v>577</v>
      </c>
      <c r="E4" s="3" t="s">
        <v>578</v>
      </c>
      <c r="F4" s="3" t="s">
        <v>579</v>
      </c>
      <c r="G4" s="3" t="s">
        <v>580</v>
      </c>
      <c r="I4" s="6" t="s">
        <v>581</v>
      </c>
      <c r="J4" s="42" t="n">
        <f aca="false">AVERAGE(C5:C13)</f>
        <v>6</v>
      </c>
    </row>
    <row r="5" customFormat="false" ht="15" hidden="false" customHeight="false" outlineLevel="0" collapsed="false">
      <c r="A5" s="20" t="n">
        <v>3</v>
      </c>
      <c r="B5" s="36" t="n">
        <v>46227</v>
      </c>
      <c r="C5" s="20" t="n">
        <v>6</v>
      </c>
      <c r="D5" s="37" t="n">
        <f aca="false">$J$4</f>
        <v>6</v>
      </c>
      <c r="E5" s="37" t="n">
        <f aca="false">$J$6</f>
        <v>9.67423461417477</v>
      </c>
      <c r="F5" s="37" t="n">
        <f aca="false">$J$7</f>
        <v>2.32576538582523</v>
      </c>
      <c r="G5" s="21" t="str">
        <f aca="false">IF(OR(C5&gt;E5,C5&lt;F5),"YES — investigate","No")</f>
        <v>No</v>
      </c>
      <c r="I5" s="6" t="s">
        <v>582</v>
      </c>
      <c r="J5" s="42" t="n">
        <f aca="false">STDEV(C5:C13)</f>
        <v>1.22474487139159</v>
      </c>
    </row>
    <row r="6" customFormat="false" ht="15" hidden="false" customHeight="false" outlineLevel="0" collapsed="false">
      <c r="A6" s="20" t="n">
        <v>4</v>
      </c>
      <c r="B6" s="36" t="n">
        <v>46234</v>
      </c>
      <c r="C6" s="20" t="n">
        <v>5</v>
      </c>
      <c r="D6" s="37" t="n">
        <f aca="false">$J$4</f>
        <v>6</v>
      </c>
      <c r="E6" s="37" t="n">
        <f aca="false">$J$6</f>
        <v>9.67423461417477</v>
      </c>
      <c r="F6" s="37" t="n">
        <f aca="false">$J$7</f>
        <v>2.32576538582523</v>
      </c>
      <c r="G6" s="21" t="str">
        <f aca="false">IF(OR(C6&gt;E6,C6&lt;F6),"YES — investigate","No")</f>
        <v>No</v>
      </c>
      <c r="I6" s="6" t="s">
        <v>578</v>
      </c>
      <c r="J6" s="42" t="n">
        <f aca="false">J4+3*J5</f>
        <v>9.67423461417477</v>
      </c>
    </row>
    <row r="7" customFormat="false" ht="15" hidden="false" customHeight="false" outlineLevel="0" collapsed="false">
      <c r="A7" s="20" t="n">
        <v>5</v>
      </c>
      <c r="B7" s="36" t="n">
        <v>46241</v>
      </c>
      <c r="C7" s="20" t="n">
        <v>7</v>
      </c>
      <c r="D7" s="37" t="n">
        <f aca="false">$J$4</f>
        <v>6</v>
      </c>
      <c r="E7" s="37" t="n">
        <f aca="false">$J$6</f>
        <v>9.67423461417477</v>
      </c>
      <c r="F7" s="37" t="n">
        <f aca="false">$J$7</f>
        <v>2.32576538582523</v>
      </c>
      <c r="G7" s="21" t="str">
        <f aca="false">IF(OR(C7&gt;E7,C7&lt;F7),"YES — investigate","No")</f>
        <v>No</v>
      </c>
      <c r="I7" s="6" t="s">
        <v>579</v>
      </c>
      <c r="J7" s="42" t="n">
        <f aca="false">MAX(0,J4-3*J5)</f>
        <v>2.32576538582523</v>
      </c>
    </row>
    <row r="8" customFormat="false" ht="15" hidden="false" customHeight="false" outlineLevel="0" collapsed="false">
      <c r="A8" s="20" t="n">
        <v>6</v>
      </c>
      <c r="B8" s="36" t="n">
        <v>46248</v>
      </c>
      <c r="C8" s="20" t="n">
        <v>4</v>
      </c>
      <c r="D8" s="37" t="n">
        <f aca="false">$J$4</f>
        <v>6</v>
      </c>
      <c r="E8" s="37" t="n">
        <f aca="false">$J$6</f>
        <v>9.67423461417477</v>
      </c>
      <c r="F8" s="37" t="n">
        <f aca="false">$J$7</f>
        <v>2.32576538582523</v>
      </c>
      <c r="G8" s="21" t="str">
        <f aca="false">IF(OR(C8&gt;E8,C8&lt;F8),"YES — investigate","No")</f>
        <v>No</v>
      </c>
    </row>
    <row r="9" customFormat="false" ht="15" hidden="false" customHeight="false" outlineLevel="0" collapsed="false">
      <c r="A9" s="20" t="n">
        <v>7</v>
      </c>
      <c r="B9" s="36" t="n">
        <v>46255</v>
      </c>
      <c r="C9" s="20" t="n">
        <v>6</v>
      </c>
      <c r="D9" s="37" t="n">
        <f aca="false">$J$4</f>
        <v>6</v>
      </c>
      <c r="E9" s="37" t="n">
        <f aca="false">$J$6</f>
        <v>9.67423461417477</v>
      </c>
      <c r="F9" s="37" t="n">
        <f aca="false">$J$7</f>
        <v>2.32576538582523</v>
      </c>
      <c r="G9" s="21" t="str">
        <f aca="false">IF(OR(C9&gt;E9,C9&lt;F9),"YES — investigate","No")</f>
        <v>No</v>
      </c>
    </row>
    <row r="10" customFormat="false" ht="15" hidden="false" customHeight="false" outlineLevel="0" collapsed="false">
      <c r="A10" s="20" t="n">
        <v>8</v>
      </c>
      <c r="B10" s="36" t="n">
        <v>46262</v>
      </c>
      <c r="C10" s="20" t="n">
        <v>5</v>
      </c>
      <c r="D10" s="37" t="n">
        <f aca="false">$J$4</f>
        <v>6</v>
      </c>
      <c r="E10" s="37" t="n">
        <f aca="false">$J$6</f>
        <v>9.67423461417477</v>
      </c>
      <c r="F10" s="37" t="n">
        <f aca="false">$J$7</f>
        <v>2.32576538582523</v>
      </c>
      <c r="G10" s="21" t="str">
        <f aca="false">IF(OR(C10&gt;E10,C10&lt;F10),"YES — investigate","No")</f>
        <v>No</v>
      </c>
    </row>
    <row r="11" customFormat="false" ht="15" hidden="false" customHeight="false" outlineLevel="0" collapsed="false">
      <c r="A11" s="20" t="n">
        <v>9</v>
      </c>
      <c r="B11" s="36" t="n">
        <v>46269</v>
      </c>
      <c r="C11" s="20" t="n">
        <v>8</v>
      </c>
      <c r="D11" s="37" t="n">
        <f aca="false">$J$4</f>
        <v>6</v>
      </c>
      <c r="E11" s="37" t="n">
        <f aca="false">$J$6</f>
        <v>9.67423461417477</v>
      </c>
      <c r="F11" s="37" t="n">
        <f aca="false">$J$7</f>
        <v>2.32576538582523</v>
      </c>
      <c r="G11" s="21" t="str">
        <f aca="false">IF(OR(C11&gt;E11,C11&lt;F11),"YES — investigate","No")</f>
        <v>No</v>
      </c>
    </row>
    <row r="12" customFormat="false" ht="15" hidden="false" customHeight="false" outlineLevel="0" collapsed="false">
      <c r="A12" s="20" t="n">
        <v>10</v>
      </c>
      <c r="B12" s="36" t="n">
        <v>46276</v>
      </c>
      <c r="C12" s="20" t="n">
        <v>6</v>
      </c>
      <c r="D12" s="37" t="n">
        <f aca="false">$J$4</f>
        <v>6</v>
      </c>
      <c r="E12" s="37" t="n">
        <f aca="false">$J$6</f>
        <v>9.67423461417477</v>
      </c>
      <c r="F12" s="37" t="n">
        <f aca="false">$J$7</f>
        <v>2.32576538582523</v>
      </c>
      <c r="G12" s="21" t="str">
        <f aca="false">IF(OR(C12&gt;E12,C12&lt;F12),"YES — investigate","No")</f>
        <v>No</v>
      </c>
    </row>
    <row r="13" customFormat="false" ht="15" hidden="false" customHeight="false" outlineLevel="0" collapsed="false">
      <c r="A13" s="20" t="n">
        <v>11</v>
      </c>
      <c r="B13" s="36" t="n">
        <v>46283</v>
      </c>
      <c r="C13" s="20" t="n">
        <v>7</v>
      </c>
      <c r="D13" s="37" t="n">
        <f aca="false">$J$4</f>
        <v>6</v>
      </c>
      <c r="E13" s="37" t="n">
        <f aca="false">$J$6</f>
        <v>9.67423461417477</v>
      </c>
      <c r="F13" s="37" t="n">
        <f aca="false">$J$7</f>
        <v>2.32576538582523</v>
      </c>
      <c r="G13" s="21" t="str">
        <f aca="false">IF(OR(C13&gt;E13,C13&lt;F13),"YES — investigate","No")</f>
        <v>No</v>
      </c>
    </row>
    <row r="14" customFormat="false" ht="15" hidden="false" customHeight="false" outlineLevel="0" collapsed="false">
      <c r="A14" s="20" t="n">
        <v>12</v>
      </c>
      <c r="B14" s="36" t="n">
        <v>46290</v>
      </c>
      <c r="C14" s="20" t="n">
        <v>14</v>
      </c>
      <c r="D14" s="37" t="n">
        <f aca="false">$J$4</f>
        <v>6</v>
      </c>
      <c r="E14" s="37" t="n">
        <f aca="false">$J$6</f>
        <v>9.67423461417477</v>
      </c>
      <c r="F14" s="37" t="n">
        <f aca="false">$J$7</f>
        <v>2.32576538582523</v>
      </c>
      <c r="G14" s="21" t="str">
        <f aca="false">IF(OR(C14&gt;E14,C14&lt;F14),"YES — investigate","No")</f>
        <v>YES — investigate</v>
      </c>
    </row>
    <row r="17" customFormat="false" ht="43.5" hidden="false" customHeight="true" outlineLevel="0" collapsed="false">
      <c r="A17" s="2" t="s">
        <v>583</v>
      </c>
      <c r="B17" s="2"/>
      <c r="C17" s="2"/>
      <c r="D17" s="2"/>
      <c r="E17" s="2"/>
      <c r="F17" s="2"/>
      <c r="G17" s="2"/>
      <c r="H17" s="2"/>
      <c r="I17" s="2"/>
      <c r="J17" s="2"/>
    </row>
  </sheetData>
  <mergeCells count="1">
    <mergeCell ref="A17:J17"/>
  </mergeCells>
  <conditionalFormatting sqref="G5:G14">
    <cfRule type="expression" priority="2" aboveAverage="0" equalAverage="0" bottom="0" percent="0" rank="0" text="" dxfId="3">
      <formula>LEFT(G5,3)="YES"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26"/>
    <col collapsed="false" customWidth="true" hidden="false" outlineLevel="0" max="10" min="9" style="0" width="22"/>
    <col collapsed="false" customWidth="true" hidden="false" outlineLevel="0" max="12" min="11" style="0" width="11"/>
    <col collapsed="false" customWidth="true" hidden="false" outlineLevel="0" max="13" min="13" style="0" width="34"/>
    <col collapsed="false" customWidth="true" hidden="false" outlineLevel="0" max="14" min="14" style="0" width="24"/>
    <col collapsed="false" customWidth="true" hidden="false" outlineLevel="0" max="15" min="15" style="0" width="34"/>
  </cols>
  <sheetData>
    <row r="1" customFormat="false" ht="18.55" hidden="false" customHeight="false" outlineLevel="0" collapsed="false">
      <c r="A1" s="19" t="s">
        <v>584</v>
      </c>
    </row>
    <row r="2" customFormat="false" ht="15" hidden="false" customHeight="false" outlineLevel="0" collapsed="false">
      <c r="A2" s="7" t="s">
        <v>222</v>
      </c>
    </row>
    <row r="4" customFormat="false" ht="31.5" hidden="false" customHeight="true" outlineLevel="0" collapsed="false">
      <c r="A4" s="3" t="s">
        <v>585</v>
      </c>
      <c r="B4" s="3" t="s">
        <v>586</v>
      </c>
      <c r="C4" s="3" t="s">
        <v>587</v>
      </c>
      <c r="D4" s="3" t="s">
        <v>588</v>
      </c>
      <c r="E4" s="3" t="s">
        <v>589</v>
      </c>
      <c r="F4" s="3" t="s">
        <v>590</v>
      </c>
      <c r="G4" s="3" t="s">
        <v>591</v>
      </c>
      <c r="H4" s="3" t="s">
        <v>592</v>
      </c>
      <c r="I4" s="3" t="s">
        <v>95</v>
      </c>
      <c r="J4" s="3" t="s">
        <v>593</v>
      </c>
      <c r="K4" s="3" t="s">
        <v>594</v>
      </c>
      <c r="L4" s="3" t="s">
        <v>595</v>
      </c>
      <c r="M4" s="3" t="s">
        <v>596</v>
      </c>
      <c r="N4" s="3" t="s">
        <v>597</v>
      </c>
      <c r="O4" s="3" t="s">
        <v>598</v>
      </c>
    </row>
    <row r="5" customFormat="false" ht="78" hidden="false" customHeight="true" outlineLevel="0" collapsed="false">
      <c r="A5" s="20" t="s">
        <v>599</v>
      </c>
      <c r="B5" s="36" t="n">
        <v>46260</v>
      </c>
      <c r="C5" s="5" t="s">
        <v>600</v>
      </c>
      <c r="D5" s="5" t="s">
        <v>601</v>
      </c>
      <c r="E5" s="5" t="s">
        <v>602</v>
      </c>
      <c r="F5" s="5" t="s">
        <v>603</v>
      </c>
      <c r="G5" s="5" t="s">
        <v>604</v>
      </c>
      <c r="H5" s="5" t="s">
        <v>605</v>
      </c>
      <c r="I5" s="5" t="s">
        <v>606</v>
      </c>
      <c r="J5" s="5" t="s">
        <v>607</v>
      </c>
      <c r="K5" s="5" t="s">
        <v>608</v>
      </c>
      <c r="L5" s="43" t="n">
        <v>46267</v>
      </c>
      <c r="M5" s="5" t="s">
        <v>609</v>
      </c>
      <c r="N5" s="5" t="s">
        <v>610</v>
      </c>
      <c r="O5" s="5" t="s">
        <v>611</v>
      </c>
    </row>
    <row r="6" customFormat="false" ht="78" hidden="false" customHeight="true" outlineLevel="0" collapsed="false">
      <c r="A6" s="20" t="s">
        <v>612</v>
      </c>
      <c r="B6" s="36" t="n">
        <v>46289</v>
      </c>
      <c r="C6" s="5" t="s">
        <v>613</v>
      </c>
      <c r="D6" s="5" t="s">
        <v>614</v>
      </c>
      <c r="E6" s="5" t="s">
        <v>615</v>
      </c>
      <c r="F6" s="5" t="s">
        <v>616</v>
      </c>
      <c r="G6" s="5" t="s">
        <v>617</v>
      </c>
      <c r="H6" s="5" t="s">
        <v>618</v>
      </c>
      <c r="I6" s="5" t="s">
        <v>619</v>
      </c>
      <c r="J6" s="5" t="s">
        <v>620</v>
      </c>
      <c r="K6" s="5" t="s">
        <v>621</v>
      </c>
      <c r="L6" s="43" t="n">
        <v>46290</v>
      </c>
      <c r="M6" s="5" t="s">
        <v>622</v>
      </c>
      <c r="N6" s="5" t="s">
        <v>623</v>
      </c>
      <c r="O6" s="5" t="s">
        <v>624</v>
      </c>
    </row>
    <row r="7" customFormat="false" ht="78" hidden="false" customHeight="true" outlineLevel="0" collapsed="false">
      <c r="A7" s="20" t="s">
        <v>625</v>
      </c>
      <c r="B7" s="36" t="n">
        <v>46275</v>
      </c>
      <c r="C7" s="5" t="s">
        <v>121</v>
      </c>
      <c r="D7" s="5" t="s">
        <v>626</v>
      </c>
      <c r="E7" s="5" t="s">
        <v>627</v>
      </c>
      <c r="F7" s="5" t="s">
        <v>628</v>
      </c>
      <c r="G7" s="5" t="s">
        <v>629</v>
      </c>
      <c r="H7" s="5" t="s">
        <v>630</v>
      </c>
      <c r="I7" s="5" t="s">
        <v>631</v>
      </c>
      <c r="J7" s="5" t="s">
        <v>632</v>
      </c>
      <c r="K7" s="5" t="s">
        <v>621</v>
      </c>
      <c r="L7" s="43" t="n">
        <v>46281</v>
      </c>
      <c r="M7" s="5" t="s">
        <v>633</v>
      </c>
      <c r="N7" s="5" t="s">
        <v>634</v>
      </c>
      <c r="O7" s="5" t="s">
        <v>635</v>
      </c>
    </row>
  </sheetData>
  <conditionalFormatting sqref="K5:K7">
    <cfRule type="cellIs" priority="2" operator="equal" aboveAverage="0" equalAverage="0" bottom="0" percent="0" rank="0" text="" dxfId="0">
      <formula>"Approved"</formula>
    </cfRule>
    <cfRule type="cellIs" priority="3" operator="equal" aboveAverage="0" equalAverage="0" bottom="0" percent="0" rank="0" text="" dxfId="0">
      <formula>"Deferred"</formula>
    </cfRule>
    <cfRule type="cellIs" priority="4" operator="equal" aboveAverage="0" equalAverage="0" bottom="0" percent="0" rank="0" text="" dxfId="0">
      <formula>"Rejected"</formula>
    </cfRule>
  </conditionalFormatting>
  <dataValidations count="1">
    <dataValidation allowBlank="false" errorStyle="stop" operator="between" showDropDown="false" showErrorMessage="false" showInputMessage="false" sqref="K5:K7" type="list">
      <formula1>Lookups!$I$5:$I$8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38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9"/>
  </cols>
  <sheetData>
    <row r="1" customFormat="false" ht="18.55" hidden="false" customHeight="false" outlineLevel="0" collapsed="false">
      <c r="A1" s="19" t="s">
        <v>636</v>
      </c>
    </row>
    <row r="2" customFormat="false" ht="15" hidden="false" customHeight="false" outlineLevel="0" collapsed="false">
      <c r="A2" s="7" t="s">
        <v>222</v>
      </c>
    </row>
    <row r="4" customFormat="false" ht="31.5" hidden="false" customHeight="true" outlineLevel="0" collapsed="false">
      <c r="A4" s="3" t="s">
        <v>637</v>
      </c>
      <c r="B4" s="3" t="s">
        <v>586</v>
      </c>
      <c r="C4" s="3" t="s">
        <v>588</v>
      </c>
      <c r="D4" s="3" t="s">
        <v>638</v>
      </c>
      <c r="E4" s="3" t="s">
        <v>223</v>
      </c>
      <c r="F4" s="3" t="s">
        <v>639</v>
      </c>
      <c r="G4" s="3" t="s">
        <v>86</v>
      </c>
      <c r="H4" s="3" t="s">
        <v>640</v>
      </c>
      <c r="I4" s="3" t="s">
        <v>641</v>
      </c>
      <c r="J4" s="3" t="s">
        <v>50</v>
      </c>
      <c r="K4" s="3" t="s">
        <v>642</v>
      </c>
    </row>
    <row r="5" customFormat="false" ht="48" hidden="false" customHeight="true" outlineLevel="0" collapsed="false">
      <c r="A5" s="20" t="s">
        <v>643</v>
      </c>
      <c r="B5" s="36" t="n">
        <v>46287</v>
      </c>
      <c r="C5" s="5" t="s">
        <v>644</v>
      </c>
      <c r="D5" s="20" t="s">
        <v>99</v>
      </c>
      <c r="E5" s="20" t="s">
        <v>645</v>
      </c>
      <c r="F5" s="5" t="s">
        <v>646</v>
      </c>
      <c r="G5" s="5" t="s">
        <v>104</v>
      </c>
      <c r="H5" s="5" t="s">
        <v>647</v>
      </c>
      <c r="I5" s="36" t="n">
        <v>46311</v>
      </c>
      <c r="J5" s="5" t="s">
        <v>648</v>
      </c>
      <c r="K5" s="20" t="n">
        <f aca="false">IF(LEFT(J5,6)="Closed","",DATE(2026,9,25)-B5)</f>
        <v>3</v>
      </c>
    </row>
    <row r="6" customFormat="false" ht="48" hidden="false" customHeight="true" outlineLevel="0" collapsed="false">
      <c r="A6" s="20" t="s">
        <v>649</v>
      </c>
      <c r="B6" s="36" t="n">
        <v>46280</v>
      </c>
      <c r="C6" s="5" t="s">
        <v>650</v>
      </c>
      <c r="D6" s="20" t="s">
        <v>109</v>
      </c>
      <c r="E6" s="20" t="s">
        <v>651</v>
      </c>
      <c r="F6" s="5" t="s">
        <v>652</v>
      </c>
      <c r="G6" s="5" t="s">
        <v>113</v>
      </c>
      <c r="H6" s="5" t="s">
        <v>653</v>
      </c>
      <c r="I6" s="36" t="n">
        <v>46297</v>
      </c>
      <c r="J6" s="5" t="s">
        <v>124</v>
      </c>
      <c r="K6" s="20" t="n">
        <f aca="false">IF(LEFT(J6,6)="Closed","",DATE(2026,9,25)-B6)</f>
        <v>10</v>
      </c>
    </row>
    <row r="7" customFormat="false" ht="48" hidden="false" customHeight="true" outlineLevel="0" collapsed="false">
      <c r="A7" s="20" t="s">
        <v>654</v>
      </c>
      <c r="B7" s="36" t="n">
        <v>46260</v>
      </c>
      <c r="C7" s="5" t="s">
        <v>655</v>
      </c>
      <c r="D7" s="20" t="s">
        <v>141</v>
      </c>
      <c r="E7" s="20" t="s">
        <v>656</v>
      </c>
      <c r="F7" s="5" t="s">
        <v>657</v>
      </c>
      <c r="G7" s="5" t="s">
        <v>129</v>
      </c>
      <c r="H7" s="5" t="s">
        <v>658</v>
      </c>
      <c r="I7" s="36" t="n">
        <v>46267</v>
      </c>
      <c r="J7" s="5" t="s">
        <v>659</v>
      </c>
      <c r="K7" s="20" t="str">
        <f aca="false">IF(LEFT(J7,6)="Closed","",DATE(2026,9,25)-B7)</f>
        <v/>
      </c>
    </row>
    <row r="8" customFormat="false" ht="48" hidden="false" customHeight="true" outlineLevel="0" collapsed="false">
      <c r="A8" s="20" t="s">
        <v>660</v>
      </c>
      <c r="B8" s="36" t="n">
        <v>46276</v>
      </c>
      <c r="C8" s="5" t="s">
        <v>661</v>
      </c>
      <c r="D8" s="20" t="s">
        <v>154</v>
      </c>
      <c r="E8" s="20" t="s">
        <v>662</v>
      </c>
      <c r="F8" s="5" t="s">
        <v>663</v>
      </c>
      <c r="G8" s="5" t="s">
        <v>158</v>
      </c>
      <c r="H8" s="5" t="s">
        <v>664</v>
      </c>
      <c r="I8" s="36" t="n">
        <v>46297</v>
      </c>
      <c r="J8" s="5" t="s">
        <v>665</v>
      </c>
      <c r="K8" s="20" t="n">
        <f aca="false">IF(LEFT(J8,6)="Closed","",DATE(2026,9,25)-B8)</f>
        <v>14</v>
      </c>
    </row>
    <row r="9" customFormat="false" ht="48" hidden="false" customHeight="true" outlineLevel="0" collapsed="false">
      <c r="A9" s="20" t="s">
        <v>666</v>
      </c>
      <c r="B9" s="36" t="n">
        <v>46273</v>
      </c>
      <c r="C9" s="5" t="s">
        <v>667</v>
      </c>
      <c r="D9" s="20" t="s">
        <v>117</v>
      </c>
      <c r="E9" s="20" t="s">
        <v>510</v>
      </c>
      <c r="F9" s="5" t="s">
        <v>668</v>
      </c>
      <c r="G9" s="5" t="s">
        <v>121</v>
      </c>
      <c r="H9" s="5" t="s">
        <v>669</v>
      </c>
      <c r="I9" s="36" t="n">
        <v>46281</v>
      </c>
      <c r="J9" s="5" t="s">
        <v>659</v>
      </c>
      <c r="K9" s="20" t="str">
        <f aca="false">IF(LEFT(J9,6)="Closed","",DATE(2026,9,25)-B9)</f>
        <v/>
      </c>
    </row>
    <row r="11" customFormat="false" ht="15" hidden="false" customHeight="false" outlineLevel="0" collapsed="false">
      <c r="A11" s="0" t="s">
        <v>40</v>
      </c>
      <c r="B11" s="0" t="n">
        <f aca="false">COUNTIF(J5:J9,"Open*")+COUNTIF(J5:J9,"In progress*")</f>
        <v>3</v>
      </c>
    </row>
  </sheetData>
  <conditionalFormatting sqref="J5:J9">
    <cfRule type="expression" priority="2" aboveAverage="0" equalAverage="0" bottom="0" percent="0" rank="0" text="" dxfId="0">
      <formula>LEFT($J5,4)="Open"</formula>
    </cfRule>
    <cfRule type="expression" priority="3" aboveAverage="0" equalAverage="0" bottom="0" percent="0" rank="0" text="" dxfId="0">
      <formula>LEFT($J5,6)="Closed"</formula>
    </cfRule>
    <cfRule type="expression" priority="4" aboveAverage="0" equalAverage="0" bottom="0" percent="0" rank="0" text="" dxfId="0">
      <formula>LEFT($J5,2)="In"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9"/>
  </cols>
  <sheetData>
    <row r="1" customFormat="false" ht="18.55" hidden="false" customHeight="false" outlineLevel="0" collapsed="false">
      <c r="A1" s="19" t="s">
        <v>670</v>
      </c>
    </row>
    <row r="2" customFormat="false" ht="15" hidden="false" customHeight="false" outlineLevel="0" collapsed="false">
      <c r="A2" s="7" t="s">
        <v>222</v>
      </c>
    </row>
    <row r="4" customFormat="false" ht="31.5" hidden="false" customHeight="true" outlineLevel="0" collapsed="false">
      <c r="A4" s="3" t="s">
        <v>223</v>
      </c>
      <c r="B4" s="3" t="s">
        <v>671</v>
      </c>
      <c r="C4" s="3" t="s">
        <v>672</v>
      </c>
      <c r="D4" s="3" t="s">
        <v>673</v>
      </c>
      <c r="E4" s="3" t="s">
        <v>674</v>
      </c>
      <c r="F4" s="3" t="s">
        <v>675</v>
      </c>
      <c r="G4" s="3" t="s">
        <v>676</v>
      </c>
      <c r="H4" s="3" t="s">
        <v>677</v>
      </c>
      <c r="I4" s="3" t="s">
        <v>678</v>
      </c>
      <c r="J4" s="3" t="s">
        <v>679</v>
      </c>
    </row>
    <row r="5" customFormat="false" ht="15" hidden="false" customHeight="false" outlineLevel="0" collapsed="false">
      <c r="A5" s="20" t="s">
        <v>499</v>
      </c>
      <c r="B5" s="5" t="s">
        <v>680</v>
      </c>
      <c r="C5" s="20" t="n">
        <f aca="false">VLOOKUP(A5,Schedule_WBS!$A:$E,5,FALSE())</f>
        <v>1</v>
      </c>
      <c r="D5" s="5" t="s">
        <v>681</v>
      </c>
      <c r="E5" s="44" t="str">
        <f aca="false">HYPERLINK("https://trello.com/c/w6wkNBpd","https://trello.com/c/w6wkNBpd")</f>
        <v>https://trello.com/c/w6wkNBpd</v>
      </c>
      <c r="F5" s="23" t="n">
        <f aca="false">VLOOKUP(A5,Schedule_WBS!$A:$N,14,FALSE())</f>
        <v>13400</v>
      </c>
      <c r="G5" s="20" t="s">
        <v>682</v>
      </c>
      <c r="H5" s="20" t="str">
        <f aca="false">VLOOKUP(A5,Schedule_WBS!$A:$T,20,FALSE())</f>
        <v>Sponsor</v>
      </c>
      <c r="I5" s="20" t="s">
        <v>682</v>
      </c>
      <c r="J5" s="21" t="str">
        <f aca="false">VLOOKUP(A5,Schedule_WBS!$A:$K,11,FALSE())</f>
        <v>Yes</v>
      </c>
    </row>
    <row r="6" customFormat="false" ht="15" hidden="false" customHeight="false" outlineLevel="0" collapsed="false">
      <c r="A6" s="20" t="s">
        <v>683</v>
      </c>
      <c r="B6" s="5" t="s">
        <v>684</v>
      </c>
      <c r="C6" s="20" t="n">
        <f aca="false">VLOOKUP(A6,Schedule_WBS!$A:$E,5,FALSE())</f>
        <v>3</v>
      </c>
      <c r="D6" s="5" t="s">
        <v>685</v>
      </c>
      <c r="E6" s="44" t="str">
        <f aca="false">HYPERLINK("https://trello.com/c/Ftqc11da","https://trello.com/c/Ftqc11da")</f>
        <v>https://trello.com/c/Ftqc11da</v>
      </c>
      <c r="F6" s="23" t="n">
        <f aca="false">VLOOKUP(A6,Schedule_WBS!$A:$N,14,FALSE())</f>
        <v>12960</v>
      </c>
      <c r="G6" s="20" t="s">
        <v>682</v>
      </c>
      <c r="H6" s="20" t="str">
        <f aca="false">VLOOKUP(A6,Schedule_WBS!$A:$T,20,FALSE())</f>
        <v>Project Manager</v>
      </c>
      <c r="I6" s="20" t="s">
        <v>682</v>
      </c>
      <c r="J6" s="21" t="str">
        <f aca="false">VLOOKUP(A6,Schedule_WBS!$A:$K,11,FALSE())</f>
        <v>No</v>
      </c>
    </row>
    <row r="7" customFormat="false" ht="15" hidden="false" customHeight="false" outlineLevel="0" collapsed="false">
      <c r="A7" s="20" t="s">
        <v>686</v>
      </c>
      <c r="B7" s="5" t="s">
        <v>687</v>
      </c>
      <c r="C7" s="20" t="n">
        <f aca="false">VLOOKUP(A7,Schedule_WBS!$A:$E,5,FALSE())</f>
        <v>4</v>
      </c>
      <c r="D7" s="5" t="s">
        <v>688</v>
      </c>
      <c r="E7" s="44" t="str">
        <f aca="false">HYPERLINK("https://trello.com/c/swANm99l","https://trello.com/c/swANm99l")</f>
        <v>https://trello.com/c/swANm99l</v>
      </c>
      <c r="F7" s="23" t="n">
        <f aca="false">VLOOKUP(A7,Schedule_WBS!$A:$N,14,FALSE())</f>
        <v>92460</v>
      </c>
      <c r="G7" s="20" t="s">
        <v>682</v>
      </c>
      <c r="H7" s="20" t="str">
        <f aca="false">VLOOKUP(A7,Schedule_WBS!$A:$T,20,FALSE())</f>
        <v>Project Manager</v>
      </c>
      <c r="I7" s="20" t="s">
        <v>682</v>
      </c>
      <c r="J7" s="21" t="str">
        <f aca="false">VLOOKUP(A7,Schedule_WBS!$A:$K,11,FALSE())</f>
        <v>No</v>
      </c>
    </row>
    <row r="8" customFormat="false" ht="15" hidden="false" customHeight="false" outlineLevel="0" collapsed="false">
      <c r="A8" s="20" t="s">
        <v>689</v>
      </c>
      <c r="B8" s="5" t="s">
        <v>690</v>
      </c>
      <c r="C8" s="20" t="n">
        <f aca="false">VLOOKUP(A8,Schedule_WBS!$A:$E,5,FALSE())</f>
        <v>5</v>
      </c>
      <c r="D8" s="5" t="s">
        <v>691</v>
      </c>
      <c r="E8" s="44" t="str">
        <f aca="false">HYPERLINK("https://trello.com/c/JL0qAVPk","https://trello.com/c/JL0qAVPk")</f>
        <v>https://trello.com/c/JL0qAVPk</v>
      </c>
      <c r="F8" s="23" t="n">
        <f aca="false">VLOOKUP(A8,Schedule_WBS!$A:$N,14,FALSE())</f>
        <v>6700</v>
      </c>
      <c r="G8" s="20" t="s">
        <v>682</v>
      </c>
      <c r="H8" s="20" t="str">
        <f aca="false">VLOOKUP(A8,Schedule_WBS!$A:$T,20,FALSE())</f>
        <v>Project Manager</v>
      </c>
      <c r="I8" s="20" t="s">
        <v>682</v>
      </c>
      <c r="J8" s="21" t="str">
        <f aca="false">VLOOKUP(A8,Schedule_WBS!$A:$K,11,FALSE())</f>
        <v>Yes</v>
      </c>
    </row>
    <row r="9" customFormat="false" ht="15" hidden="false" customHeight="false" outlineLevel="0" collapsed="false">
      <c r="A9" s="20" t="s">
        <v>692</v>
      </c>
      <c r="B9" s="5" t="s">
        <v>693</v>
      </c>
      <c r="C9" s="20" t="n">
        <f aca="false">VLOOKUP(A9,Schedule_WBS!$A:$E,5,FALSE())</f>
        <v>7</v>
      </c>
      <c r="D9" s="5" t="s">
        <v>694</v>
      </c>
      <c r="E9" s="44" t="str">
        <f aca="false">HYPERLINK("https://trello.com/c/gKHXQBHA","https://trello.com/c/gKHXQBHA")</f>
        <v>https://trello.com/c/gKHXQBHA</v>
      </c>
      <c r="F9" s="23" t="n">
        <f aca="false">VLOOKUP(A9,Schedule_WBS!$A:$N,14,FALSE())</f>
        <v>14800</v>
      </c>
      <c r="G9" s="20" t="s">
        <v>682</v>
      </c>
      <c r="H9" s="20" t="str">
        <f aca="false">VLOOKUP(A9,Schedule_WBS!$A:$T,20,FALSE())</f>
        <v>Business Analyst</v>
      </c>
      <c r="I9" s="20" t="s">
        <v>682</v>
      </c>
      <c r="J9" s="21" t="str">
        <f aca="false">VLOOKUP(A9,Schedule_WBS!$A:$K,11,FALSE())</f>
        <v>Yes</v>
      </c>
    </row>
    <row r="10" customFormat="false" ht="15" hidden="false" customHeight="false" outlineLevel="0" collapsed="false">
      <c r="A10" s="20" t="s">
        <v>695</v>
      </c>
      <c r="B10" s="5" t="s">
        <v>696</v>
      </c>
      <c r="C10" s="20" t="n">
        <f aca="false">VLOOKUP(A10,Schedule_WBS!$A:$E,5,FALSE())</f>
        <v>8</v>
      </c>
      <c r="D10" s="5" t="s">
        <v>697</v>
      </c>
      <c r="E10" s="44" t="str">
        <f aca="false">HYPERLINK("https://trello.com/c/1vNe1AZp","https://trello.com/c/1vNe1AZp")</f>
        <v>https://trello.com/c/1vNe1AZp</v>
      </c>
      <c r="F10" s="23" t="n">
        <f aca="false">VLOOKUP(A10,Schedule_WBS!$A:$N,14,FALSE())</f>
        <v>15600</v>
      </c>
      <c r="G10" s="20" t="s">
        <v>141</v>
      </c>
      <c r="H10" s="20" t="str">
        <f aca="false">VLOOKUP(A10,Schedule_WBS!$A:$T,20,FALSE())</f>
        <v>Business Analyst</v>
      </c>
      <c r="I10" s="20" t="s">
        <v>682</v>
      </c>
      <c r="J10" s="21" t="str">
        <f aca="false">VLOOKUP(A10,Schedule_WBS!$A:$K,11,FALSE())</f>
        <v>Yes</v>
      </c>
    </row>
    <row r="11" customFormat="false" ht="15" hidden="false" customHeight="false" outlineLevel="0" collapsed="false">
      <c r="A11" s="20" t="s">
        <v>508</v>
      </c>
      <c r="B11" s="5" t="s">
        <v>507</v>
      </c>
      <c r="C11" s="20" t="n">
        <f aca="false">VLOOKUP(A11,Schedule_WBS!$A:$E,5,FALSE())</f>
        <v>9</v>
      </c>
      <c r="D11" s="5" t="s">
        <v>698</v>
      </c>
      <c r="E11" s="44" t="str">
        <f aca="false">HYPERLINK("https://trello.com/c/AuYqG8s9","https://trello.com/c/AuYqG8s9")</f>
        <v>https://trello.com/c/AuYqG8s9</v>
      </c>
      <c r="F11" s="23" t="n">
        <f aca="false">VLOOKUP(A11,Schedule_WBS!$A:$N,14,FALSE())</f>
        <v>18600</v>
      </c>
      <c r="G11" s="20" t="s">
        <v>699</v>
      </c>
      <c r="H11" s="20" t="str">
        <f aca="false">VLOOKUP(A11,Schedule_WBS!$A:$T,20,FALSE())</f>
        <v>Solution Architect</v>
      </c>
      <c r="I11" s="20" t="s">
        <v>682</v>
      </c>
      <c r="J11" s="21" t="str">
        <f aca="false">VLOOKUP(A11,Schedule_WBS!$A:$K,11,FALSE())</f>
        <v>Yes</v>
      </c>
    </row>
    <row r="12" customFormat="false" ht="15" hidden="false" customHeight="false" outlineLevel="0" collapsed="false">
      <c r="A12" s="20" t="s">
        <v>510</v>
      </c>
      <c r="B12" s="5" t="s">
        <v>509</v>
      </c>
      <c r="C12" s="20" t="n">
        <f aca="false">VLOOKUP(A12,Schedule_WBS!$A:$E,5,FALSE())</f>
        <v>10</v>
      </c>
      <c r="D12" s="5" t="s">
        <v>700</v>
      </c>
      <c r="E12" s="44" t="str">
        <f aca="false">HYPERLINK("https://trello.com/c/pjgrHDND","https://trello.com/c/pjgrHDND")</f>
        <v>https://trello.com/c/pjgrHDND</v>
      </c>
      <c r="F12" s="23" t="n">
        <f aca="false">VLOOKUP(A12,Schedule_WBS!$A:$N,14,FALSE())</f>
        <v>10200</v>
      </c>
      <c r="G12" s="20" t="s">
        <v>117</v>
      </c>
      <c r="H12" s="20" t="str">
        <f aca="false">VLOOKUP(A12,Schedule_WBS!$A:$T,20,FALSE())</f>
        <v>Privacy Officer</v>
      </c>
      <c r="I12" s="20" t="s">
        <v>682</v>
      </c>
      <c r="J12" s="21" t="str">
        <f aca="false">VLOOKUP(A12,Schedule_WBS!$A:$K,11,FALSE())</f>
        <v>No</v>
      </c>
    </row>
    <row r="13" customFormat="false" ht="15" hidden="false" customHeight="false" outlineLevel="0" collapsed="false">
      <c r="A13" s="20" t="s">
        <v>701</v>
      </c>
      <c r="B13" s="5" t="s">
        <v>702</v>
      </c>
      <c r="C13" s="20" t="n">
        <f aca="false">VLOOKUP(A13,Schedule_WBS!$A:$E,5,FALSE())</f>
        <v>11</v>
      </c>
      <c r="D13" s="5" t="s">
        <v>703</v>
      </c>
      <c r="E13" s="44" t="str">
        <f aca="false">HYPERLINK("https://trello.com/c/2hhm9pSY","https://trello.com/c/2hhm9pSY")</f>
        <v>https://trello.com/c/2hhm9pSY</v>
      </c>
      <c r="F13" s="23" t="n">
        <f aca="false">VLOOKUP(A13,Schedule_WBS!$A:$N,14,FALSE())</f>
        <v>17700</v>
      </c>
      <c r="G13" s="20" t="s">
        <v>154</v>
      </c>
      <c r="H13" s="20" t="str">
        <f aca="false">VLOOKUP(A13,Schedule_WBS!$A:$T,20,FALSE())</f>
        <v>UX Designer</v>
      </c>
      <c r="I13" s="20" t="s">
        <v>682</v>
      </c>
      <c r="J13" s="21" t="str">
        <f aca="false">VLOOKUP(A13,Schedule_WBS!$A:$K,11,FALSE())</f>
        <v>No</v>
      </c>
    </row>
    <row r="14" customFormat="false" ht="15" hidden="false" customHeight="false" outlineLevel="0" collapsed="false">
      <c r="A14" s="20" t="s">
        <v>662</v>
      </c>
      <c r="B14" s="5" t="s">
        <v>704</v>
      </c>
      <c r="C14" s="20" t="n">
        <f aca="false">VLOOKUP(A14,Schedule_WBS!$A:$E,5,FALSE())</f>
        <v>13</v>
      </c>
      <c r="D14" s="5" t="s">
        <v>705</v>
      </c>
      <c r="E14" s="44" t="str">
        <f aca="false">HYPERLINK("https://trello.com/c/sG9i1E50","https://trello.com/c/sG9i1E50")</f>
        <v>https://trello.com/c/sG9i1E50</v>
      </c>
      <c r="F14" s="23" t="n">
        <f aca="false">VLOOKUP(A14,Schedule_WBS!$A:$N,14,FALSE())</f>
        <v>29300</v>
      </c>
      <c r="G14" s="20" t="s">
        <v>706</v>
      </c>
      <c r="H14" s="20" t="str">
        <f aca="false">VLOOKUP(A14,Schedule_WBS!$A:$T,20,FALSE())</f>
        <v>Development Lead</v>
      </c>
      <c r="I14" s="20" t="s">
        <v>682</v>
      </c>
      <c r="J14" s="21" t="str">
        <f aca="false">VLOOKUP(A14,Schedule_WBS!$A:$K,11,FALSE())</f>
        <v>No</v>
      </c>
    </row>
    <row r="15" customFormat="false" ht="15" hidden="false" customHeight="false" outlineLevel="0" collapsed="false">
      <c r="A15" s="20" t="s">
        <v>656</v>
      </c>
      <c r="B15" s="5" t="s">
        <v>707</v>
      </c>
      <c r="C15" s="20" t="n">
        <f aca="false">VLOOKUP(A15,Schedule_WBS!$A:$E,5,FALSE())</f>
        <v>14</v>
      </c>
      <c r="D15" s="5" t="s">
        <v>708</v>
      </c>
      <c r="E15" s="44" t="str">
        <f aca="false">HYPERLINK("https://trello.com/c/Oys71NKi","https://trello.com/c/Oys71NKi")</f>
        <v>https://trello.com/c/Oys71NKi</v>
      </c>
      <c r="F15" s="23" t="n">
        <f aca="false">VLOOKUP(A15,Schedule_WBS!$A:$N,14,FALSE())</f>
        <v>29300</v>
      </c>
      <c r="G15" s="20" t="s">
        <v>709</v>
      </c>
      <c r="H15" s="20" t="str">
        <f aca="false">VLOOKUP(A15,Schedule_WBS!$A:$T,20,FALSE())</f>
        <v>Development Lead</v>
      </c>
      <c r="I15" s="20" t="s">
        <v>682</v>
      </c>
      <c r="J15" s="21" t="str">
        <f aca="false">VLOOKUP(A15,Schedule_WBS!$A:$K,11,FALSE())</f>
        <v>No</v>
      </c>
    </row>
    <row r="16" customFormat="false" ht="15" hidden="false" customHeight="false" outlineLevel="0" collapsed="false">
      <c r="A16" s="20" t="s">
        <v>710</v>
      </c>
      <c r="B16" s="5" t="s">
        <v>711</v>
      </c>
      <c r="C16" s="20" t="n">
        <f aca="false">VLOOKUP(A16,Schedule_WBS!$A:$E,5,FALSE())</f>
        <v>15</v>
      </c>
      <c r="D16" s="5" t="s">
        <v>712</v>
      </c>
      <c r="E16" s="44" t="str">
        <f aca="false">HYPERLINK("https://trello.com/c/krHnWWTM","https://trello.com/c/krHnWWTM")</f>
        <v>https://trello.com/c/krHnWWTM</v>
      </c>
      <c r="F16" s="23" t="n">
        <f aca="false">VLOOKUP(A16,Schedule_WBS!$A:$N,14,FALSE())</f>
        <v>29300</v>
      </c>
      <c r="G16" s="20" t="s">
        <v>709</v>
      </c>
      <c r="H16" s="20" t="str">
        <f aca="false">VLOOKUP(A16,Schedule_WBS!$A:$T,20,FALSE())</f>
        <v>Development Lead</v>
      </c>
      <c r="I16" s="20" t="s">
        <v>682</v>
      </c>
      <c r="J16" s="21" t="str">
        <f aca="false">VLOOKUP(A16,Schedule_WBS!$A:$K,11,FALSE())</f>
        <v>No</v>
      </c>
    </row>
    <row r="17" customFormat="false" ht="15" hidden="false" customHeight="false" outlineLevel="0" collapsed="false">
      <c r="A17" s="20" t="s">
        <v>713</v>
      </c>
      <c r="B17" s="5" t="s">
        <v>714</v>
      </c>
      <c r="C17" s="20" t="n">
        <f aca="false">VLOOKUP(A17,Schedule_WBS!$A:$E,5,FALSE())</f>
        <v>16</v>
      </c>
      <c r="D17" s="5" t="s">
        <v>715</v>
      </c>
      <c r="E17" s="44" t="str">
        <f aca="false">HYPERLINK("https://trello.com/c/fhyGOG3V","https://trello.com/c/fhyGOG3V")</f>
        <v>https://trello.com/c/fhyGOG3V</v>
      </c>
      <c r="F17" s="23" t="n">
        <f aca="false">VLOOKUP(A17,Schedule_WBS!$A:$N,14,FALSE())</f>
        <v>29300</v>
      </c>
      <c r="G17" s="20" t="s">
        <v>709</v>
      </c>
      <c r="H17" s="20" t="str">
        <f aca="false">VLOOKUP(A17,Schedule_WBS!$A:$T,20,FALSE())</f>
        <v>Development Lead</v>
      </c>
      <c r="I17" s="20" t="s">
        <v>682</v>
      </c>
      <c r="J17" s="21" t="str">
        <f aca="false">VLOOKUP(A17,Schedule_WBS!$A:$K,11,FALSE())</f>
        <v>No</v>
      </c>
    </row>
    <row r="18" customFormat="false" ht="15" hidden="false" customHeight="false" outlineLevel="0" collapsed="false">
      <c r="A18" s="20" t="s">
        <v>651</v>
      </c>
      <c r="B18" s="5" t="s">
        <v>716</v>
      </c>
      <c r="C18" s="20" t="n">
        <f aca="false">VLOOKUP(A18,Schedule_WBS!$A:$E,5,FALSE())</f>
        <v>17</v>
      </c>
      <c r="D18" s="5" t="s">
        <v>717</v>
      </c>
      <c r="E18" s="44" t="str">
        <f aca="false">HYPERLINK("https://trello.com/c/k2OzKmNi","https://trello.com/c/k2OzKmNi")</f>
        <v>https://trello.com/c/k2OzKmNi</v>
      </c>
      <c r="F18" s="23" t="n">
        <f aca="false">VLOOKUP(A18,Schedule_WBS!$A:$N,14,FALSE())</f>
        <v>28000</v>
      </c>
      <c r="G18" s="20" t="s">
        <v>109</v>
      </c>
      <c r="H18" s="20" t="str">
        <f aca="false">VLOOKUP(A18,Schedule_WBS!$A:$T,20,FALSE())</f>
        <v>Solution Architect</v>
      </c>
      <c r="I18" s="20" t="s">
        <v>682</v>
      </c>
      <c r="J18" s="21" t="str">
        <f aca="false">VLOOKUP(A18,Schedule_WBS!$A:$K,11,FALSE())</f>
        <v>No</v>
      </c>
    </row>
    <row r="19" customFormat="false" ht="15" hidden="false" customHeight="false" outlineLevel="0" collapsed="false">
      <c r="A19" s="20" t="s">
        <v>718</v>
      </c>
      <c r="B19" s="5" t="s">
        <v>719</v>
      </c>
      <c r="C19" s="20" t="n">
        <f aca="false">VLOOKUP(A19,Schedule_WBS!$A:$E,5,FALSE())</f>
        <v>18</v>
      </c>
      <c r="D19" s="5" t="s">
        <v>720</v>
      </c>
      <c r="E19" s="44" t="str">
        <f aca="false">HYPERLINK("https://trello.com/c/QfSYD0i1","https://trello.com/c/QfSYD0i1")</f>
        <v>https://trello.com/c/QfSYD0i1</v>
      </c>
      <c r="F19" s="23" t="n">
        <f aca="false">VLOOKUP(A19,Schedule_WBS!$A:$N,14,FALSE())</f>
        <v>5600</v>
      </c>
      <c r="G19" s="20" t="s">
        <v>682</v>
      </c>
      <c r="H19" s="20" t="str">
        <f aca="false">VLOOKUP(A19,Schedule_WBS!$A:$T,20,FALSE())</f>
        <v>Development Lead</v>
      </c>
      <c r="I19" s="20" t="s">
        <v>682</v>
      </c>
      <c r="J19" s="21" t="str">
        <f aca="false">VLOOKUP(A19,Schedule_WBS!$A:$K,11,FALSE())</f>
        <v>No</v>
      </c>
    </row>
    <row r="20" customFormat="false" ht="15" hidden="false" customHeight="false" outlineLevel="0" collapsed="false">
      <c r="A20" s="20" t="s">
        <v>721</v>
      </c>
      <c r="B20" s="5" t="s">
        <v>722</v>
      </c>
      <c r="C20" s="20" t="n">
        <f aca="false">VLOOKUP(A20,Schedule_WBS!$A:$E,5,FALSE())</f>
        <v>20</v>
      </c>
      <c r="D20" s="5" t="s">
        <v>723</v>
      </c>
      <c r="E20" s="44" t="str">
        <f aca="false">HYPERLINK("https://trello.com/c/4bcpHzbS","https://trello.com/c/4bcpHzbS")</f>
        <v>https://trello.com/c/4bcpHzbS</v>
      </c>
      <c r="F20" s="23" t="n">
        <f aca="false">VLOOKUP(A20,Schedule_WBS!$A:$N,14,FALSE())</f>
        <v>12600</v>
      </c>
      <c r="G20" s="20" t="s">
        <v>99</v>
      </c>
      <c r="H20" s="20" t="str">
        <f aca="false">VLOOKUP(A20,Schedule_WBS!$A:$T,20,FALSE())</f>
        <v>Data Engineer</v>
      </c>
      <c r="I20" s="20" t="s">
        <v>682</v>
      </c>
      <c r="J20" s="21" t="str">
        <f aca="false">VLOOKUP(A20,Schedule_WBS!$A:$K,11,FALSE())</f>
        <v>Yes</v>
      </c>
    </row>
    <row r="21" customFormat="false" ht="15" hidden="false" customHeight="false" outlineLevel="0" collapsed="false">
      <c r="A21" s="20" t="s">
        <v>645</v>
      </c>
      <c r="B21" s="5" t="s">
        <v>724</v>
      </c>
      <c r="C21" s="20" t="n">
        <f aca="false">VLOOKUP(A21,Schedule_WBS!$A:$E,5,FALSE())</f>
        <v>21</v>
      </c>
      <c r="D21" s="5" t="s">
        <v>725</v>
      </c>
      <c r="E21" s="44" t="str">
        <f aca="false">HYPERLINK("https://trello.com/c/ab8HgR9E","https://trello.com/c/ab8HgR9E")</f>
        <v>https://trello.com/c/ab8HgR9E</v>
      </c>
      <c r="F21" s="23" t="n">
        <f aca="false">VLOOKUP(A21,Schedule_WBS!$A:$N,14,FALSE())</f>
        <v>18300</v>
      </c>
      <c r="G21" s="20" t="s">
        <v>726</v>
      </c>
      <c r="H21" s="20" t="str">
        <f aca="false">VLOOKUP(A21,Schedule_WBS!$A:$T,20,FALSE())</f>
        <v>Data Engineer</v>
      </c>
      <c r="I21" s="20" t="s">
        <v>682</v>
      </c>
      <c r="J21" s="21" t="str">
        <f aca="false">VLOOKUP(A21,Schedule_WBS!$A:$K,11,FALSE())</f>
        <v>Yes</v>
      </c>
    </row>
    <row r="22" customFormat="false" ht="15" hidden="false" customHeight="false" outlineLevel="0" collapsed="false">
      <c r="A22" s="20" t="s">
        <v>534</v>
      </c>
      <c r="B22" s="5" t="s">
        <v>727</v>
      </c>
      <c r="C22" s="20" t="n">
        <f aca="false">VLOOKUP(A22,Schedule_WBS!$A:$E,5,FALSE())</f>
        <v>22</v>
      </c>
      <c r="D22" s="5" t="s">
        <v>728</v>
      </c>
      <c r="E22" s="44" t="str">
        <f aca="false">HYPERLINK("https://trello.com/c/yqJes5HD","https://trello.com/c/yqJes5HD")</f>
        <v>https://trello.com/c/yqJes5HD</v>
      </c>
      <c r="F22" s="23" t="n">
        <f aca="false">VLOOKUP(A22,Schedule_WBS!$A:$N,14,FALSE())</f>
        <v>36600</v>
      </c>
      <c r="G22" s="20" t="s">
        <v>726</v>
      </c>
      <c r="H22" s="20" t="str">
        <f aca="false">VLOOKUP(A22,Schedule_WBS!$A:$T,20,FALSE())</f>
        <v>Data Engineer</v>
      </c>
      <c r="I22" s="20" t="s">
        <v>528</v>
      </c>
      <c r="J22" s="21" t="str">
        <f aca="false">VLOOKUP(A22,Schedule_WBS!$A:$K,11,FALSE())</f>
        <v>Yes</v>
      </c>
    </row>
    <row r="23" customFormat="false" ht="15" hidden="false" customHeight="false" outlineLevel="0" collapsed="false">
      <c r="A23" s="20" t="s">
        <v>729</v>
      </c>
      <c r="B23" s="5" t="s">
        <v>730</v>
      </c>
      <c r="C23" s="20" t="n">
        <f aca="false">VLOOKUP(A23,Schedule_WBS!$A:$E,5,FALSE())</f>
        <v>24</v>
      </c>
      <c r="D23" s="5" t="s">
        <v>731</v>
      </c>
      <c r="E23" s="44" t="str">
        <f aca="false">HYPERLINK("https://trello.com/c/MziySy58","https://trello.com/c/MziySy58")</f>
        <v>https://trello.com/c/MziySy58</v>
      </c>
      <c r="F23" s="23" t="n">
        <f aca="false">VLOOKUP(A23,Schedule_WBS!$A:$N,14,FALSE())</f>
        <v>8900</v>
      </c>
      <c r="G23" s="20" t="s">
        <v>732</v>
      </c>
      <c r="H23" s="20" t="str">
        <f aca="false">VLOOKUP(A23,Schedule_WBS!$A:$T,20,FALSE())</f>
        <v>Data Engineer</v>
      </c>
      <c r="I23" s="20" t="s">
        <v>682</v>
      </c>
      <c r="J23" s="21" t="str">
        <f aca="false">VLOOKUP(A23,Schedule_WBS!$A:$K,11,FALSE())</f>
        <v>Yes</v>
      </c>
    </row>
    <row r="24" customFormat="false" ht="15" hidden="false" customHeight="false" outlineLevel="0" collapsed="false">
      <c r="A24" s="20" t="s">
        <v>733</v>
      </c>
      <c r="B24" s="5" t="s">
        <v>734</v>
      </c>
      <c r="C24" s="20" t="n">
        <f aca="false">VLOOKUP(A24,Schedule_WBS!$A:$E,5,FALSE())</f>
        <v>25</v>
      </c>
      <c r="D24" s="5" t="s">
        <v>735</v>
      </c>
      <c r="E24" s="44" t="str">
        <f aca="false">HYPERLINK("https://trello.com/c/lwu7yxdn","https://trello.com/c/lwu7yxdn")</f>
        <v>https://trello.com/c/lwu7yxdn</v>
      </c>
      <c r="F24" s="23" t="n">
        <f aca="false">VLOOKUP(A24,Schedule_WBS!$A:$N,14,FALSE())</f>
        <v>34200</v>
      </c>
      <c r="G24" s="20" t="s">
        <v>682</v>
      </c>
      <c r="H24" s="20" t="str">
        <f aca="false">VLOOKUP(A24,Schedule_WBS!$A:$T,20,FALSE())</f>
        <v>Test Lead</v>
      </c>
      <c r="I24" s="20" t="s">
        <v>682</v>
      </c>
      <c r="J24" s="21" t="str">
        <f aca="false">VLOOKUP(A24,Schedule_WBS!$A:$K,11,FALSE())</f>
        <v>Yes</v>
      </c>
    </row>
    <row r="25" customFormat="false" ht="15" hidden="false" customHeight="false" outlineLevel="0" collapsed="false">
      <c r="A25" s="20" t="s">
        <v>736</v>
      </c>
      <c r="B25" s="5" t="s">
        <v>737</v>
      </c>
      <c r="C25" s="20" t="n">
        <f aca="false">VLOOKUP(A25,Schedule_WBS!$A:$E,5,FALSE())</f>
        <v>26</v>
      </c>
      <c r="D25" s="5" t="s">
        <v>738</v>
      </c>
      <c r="E25" s="44" t="str">
        <f aca="false">HYPERLINK("https://trello.com/c/BEGJQGdw","https://trello.com/c/BEGJQGdw")</f>
        <v>https://trello.com/c/BEGJQGdw</v>
      </c>
      <c r="F25" s="23" t="n">
        <f aca="false">VLOOKUP(A25,Schedule_WBS!$A:$N,14,FALSE())</f>
        <v>42000</v>
      </c>
      <c r="G25" s="20" t="s">
        <v>682</v>
      </c>
      <c r="H25" s="20" t="str">
        <f aca="false">VLOOKUP(A25,Schedule_WBS!$A:$T,20,FALSE())</f>
        <v>Test Lead</v>
      </c>
      <c r="I25" s="20" t="s">
        <v>682</v>
      </c>
      <c r="J25" s="21" t="str">
        <f aca="false">VLOOKUP(A25,Schedule_WBS!$A:$K,11,FALSE())</f>
        <v>No</v>
      </c>
    </row>
    <row r="26" customFormat="false" ht="15" hidden="false" customHeight="false" outlineLevel="0" collapsed="false">
      <c r="A26" s="20" t="s">
        <v>555</v>
      </c>
      <c r="B26" s="5" t="s">
        <v>739</v>
      </c>
      <c r="C26" s="20" t="n">
        <f aca="false">VLOOKUP(A26,Schedule_WBS!$A:$E,5,FALSE())</f>
        <v>27</v>
      </c>
      <c r="D26" s="5" t="s">
        <v>740</v>
      </c>
      <c r="E26" s="44" t="str">
        <f aca="false">HYPERLINK("https://trello.com/c/nuDiYazQ","https://trello.com/c/nuDiYazQ")</f>
        <v>https://trello.com/c/nuDiYazQ</v>
      </c>
      <c r="F26" s="23" t="n">
        <f aca="false">VLOOKUP(A26,Schedule_WBS!$A:$N,14,FALSE())</f>
        <v>11000</v>
      </c>
      <c r="G26" s="20" t="s">
        <v>154</v>
      </c>
      <c r="H26" s="20" t="str">
        <f aca="false">VLOOKUP(A26,Schedule_WBS!$A:$T,20,FALSE())</f>
        <v>UX Designer</v>
      </c>
      <c r="I26" s="20" t="s">
        <v>549</v>
      </c>
      <c r="J26" s="21" t="str">
        <f aca="false">VLOOKUP(A26,Schedule_WBS!$A:$K,11,FALSE())</f>
        <v>No</v>
      </c>
    </row>
    <row r="27" customFormat="false" ht="15" hidden="false" customHeight="false" outlineLevel="0" collapsed="false">
      <c r="A27" s="20" t="s">
        <v>548</v>
      </c>
      <c r="B27" s="5" t="s">
        <v>741</v>
      </c>
      <c r="C27" s="20" t="n">
        <f aca="false">VLOOKUP(A27,Schedule_WBS!$A:$E,5,FALSE())</f>
        <v>28</v>
      </c>
      <c r="D27" s="5" t="s">
        <v>742</v>
      </c>
      <c r="E27" s="44" t="str">
        <f aca="false">HYPERLINK("https://trello.com/c/QEF3XnUk","https://trello.com/c/QEF3XnUk")</f>
        <v>https://trello.com/c/QEF3XnUk</v>
      </c>
      <c r="F27" s="23" t="n">
        <f aca="false">VLOOKUP(A27,Schedule_WBS!$A:$N,14,FALSE())</f>
        <v>9800</v>
      </c>
      <c r="G27" s="20" t="s">
        <v>148</v>
      </c>
      <c r="H27" s="20" t="str">
        <f aca="false">VLOOKUP(A27,Schedule_WBS!$A:$T,20,FALSE())</f>
        <v>Solution Architect</v>
      </c>
      <c r="I27" s="20" t="s">
        <v>541</v>
      </c>
      <c r="J27" s="21" t="str">
        <f aca="false">VLOOKUP(A27,Schedule_WBS!$A:$K,11,FALSE())</f>
        <v>No</v>
      </c>
    </row>
    <row r="28" customFormat="false" ht="15" hidden="false" customHeight="false" outlineLevel="0" collapsed="false">
      <c r="A28" s="20" t="s">
        <v>562</v>
      </c>
      <c r="B28" s="5" t="s">
        <v>743</v>
      </c>
      <c r="C28" s="20" t="n">
        <f aca="false">VLOOKUP(A28,Schedule_WBS!$A:$E,5,FALSE())</f>
        <v>29</v>
      </c>
      <c r="D28" s="5" t="s">
        <v>744</v>
      </c>
      <c r="E28" s="44" t="str">
        <f aca="false">HYPERLINK("https://trello.com/c/0OQxOzfu","https://trello.com/c/0OQxOzfu")</f>
        <v>https://trello.com/c/0OQxOzfu</v>
      </c>
      <c r="F28" s="23" t="n">
        <f aca="false">VLOOKUP(A28,Schedule_WBS!$A:$N,14,FALSE())</f>
        <v>27000</v>
      </c>
      <c r="G28" s="20" t="s">
        <v>682</v>
      </c>
      <c r="H28" s="20" t="str">
        <f aca="false">VLOOKUP(A28,Schedule_WBS!$A:$T,20,FALSE())</f>
        <v>Test Lead</v>
      </c>
      <c r="I28" s="20" t="s">
        <v>556</v>
      </c>
      <c r="J28" s="21" t="str">
        <f aca="false">VLOOKUP(A28,Schedule_WBS!$A:$K,11,FALSE())</f>
        <v>Yes</v>
      </c>
    </row>
    <row r="29" customFormat="false" ht="15" hidden="false" customHeight="false" outlineLevel="0" collapsed="false">
      <c r="A29" s="20" t="s">
        <v>567</v>
      </c>
      <c r="B29" s="5" t="s">
        <v>745</v>
      </c>
      <c r="C29" s="20" t="n">
        <f aca="false">VLOOKUP(A29,Schedule_WBS!$A:$E,5,FALSE())</f>
        <v>30</v>
      </c>
      <c r="D29" s="5" t="s">
        <v>746</v>
      </c>
      <c r="E29" s="44" t="str">
        <f aca="false">HYPERLINK("https://trello.com/c/afOrVUBH","https://trello.com/c/afOrVUBH")</f>
        <v>https://trello.com/c/afOrVUBH</v>
      </c>
      <c r="F29" s="23" t="n">
        <f aca="false">VLOOKUP(A29,Schedule_WBS!$A:$N,14,FALSE())</f>
        <v>16160</v>
      </c>
      <c r="G29" s="20" t="s">
        <v>682</v>
      </c>
      <c r="H29" s="20" t="str">
        <f aca="false">VLOOKUP(A29,Schedule_WBS!$A:$T,20,FALSE())</f>
        <v>Test Lead</v>
      </c>
      <c r="I29" s="20" t="s">
        <v>563</v>
      </c>
      <c r="J29" s="21" t="str">
        <f aca="false">VLOOKUP(A29,Schedule_WBS!$A:$K,11,FALSE())</f>
        <v>No</v>
      </c>
    </row>
    <row r="30" customFormat="false" ht="15" hidden="false" customHeight="false" outlineLevel="0" collapsed="false">
      <c r="A30" s="20" t="s">
        <v>747</v>
      </c>
      <c r="B30" s="5" t="s">
        <v>748</v>
      </c>
      <c r="C30" s="20" t="n">
        <f aca="false">VLOOKUP(A30,Schedule_WBS!$A:$E,5,FALSE())</f>
        <v>32</v>
      </c>
      <c r="D30" s="5" t="s">
        <v>749</v>
      </c>
      <c r="E30" s="44" t="str">
        <f aca="false">HYPERLINK("https://trello.com/c/yEbNDknS","https://trello.com/c/yEbNDknS")</f>
        <v>https://trello.com/c/yEbNDknS</v>
      </c>
      <c r="F30" s="23" t="n">
        <f aca="false">VLOOKUP(A30,Schedule_WBS!$A:$N,14,FALSE())</f>
        <v>22400</v>
      </c>
      <c r="G30" s="20" t="s">
        <v>750</v>
      </c>
      <c r="H30" s="20" t="str">
        <f aca="false">VLOOKUP(A30,Schedule_WBS!$A:$T,20,FALSE())</f>
        <v>Project Manager</v>
      </c>
      <c r="I30" s="20" t="s">
        <v>682</v>
      </c>
      <c r="J30" s="21" t="str">
        <f aca="false">VLOOKUP(A30,Schedule_WBS!$A:$K,11,FALSE())</f>
        <v>No</v>
      </c>
    </row>
    <row r="31" customFormat="false" ht="15" hidden="false" customHeight="false" outlineLevel="0" collapsed="false">
      <c r="A31" s="20" t="s">
        <v>195</v>
      </c>
      <c r="B31" s="5" t="s">
        <v>751</v>
      </c>
      <c r="C31" s="20" t="n">
        <f aca="false">VLOOKUP(A31,Schedule_WBS!$A:$E,5,FALSE())</f>
        <v>33</v>
      </c>
      <c r="D31" s="5" t="s">
        <v>752</v>
      </c>
      <c r="E31" s="44" t="str">
        <f aca="false">HYPERLINK("https://trello.com/c/6RXkUi0R","https://trello.com/c/6RXkUi0R")</f>
        <v>https://trello.com/c/6RXkUi0R</v>
      </c>
      <c r="F31" s="23" t="n">
        <f aca="false">VLOOKUP(A31,Schedule_WBS!$A:$N,14,FALSE())</f>
        <v>15800</v>
      </c>
      <c r="G31" s="20" t="s">
        <v>753</v>
      </c>
      <c r="H31" s="20" t="str">
        <f aca="false">VLOOKUP(A31,Schedule_WBS!$A:$T,20,FALSE())</f>
        <v>Project Manager</v>
      </c>
      <c r="I31" s="20" t="s">
        <v>682</v>
      </c>
      <c r="J31" s="21" t="str">
        <f aca="false">VLOOKUP(A31,Schedule_WBS!$A:$K,11,FALSE())</f>
        <v>Yes</v>
      </c>
    </row>
    <row r="32" customFormat="false" ht="15" hidden="false" customHeight="false" outlineLevel="0" collapsed="false">
      <c r="A32" s="20" t="s">
        <v>172</v>
      </c>
      <c r="B32" s="5" t="s">
        <v>754</v>
      </c>
      <c r="C32" s="20" t="n">
        <f aca="false">VLOOKUP(A32,Schedule_WBS!$A:$E,5,FALSE())</f>
        <v>34</v>
      </c>
      <c r="D32" s="5" t="s">
        <v>755</v>
      </c>
      <c r="E32" s="44" t="str">
        <f aca="false">HYPERLINK("https://trello.com/c/DK4Gh3k2","https://trello.com/c/DK4Gh3k2")</f>
        <v>https://trello.com/c/DK4Gh3k2</v>
      </c>
      <c r="F32" s="23" t="n">
        <f aca="false">VLOOKUP(A32,Schedule_WBS!$A:$N,14,FALSE())</f>
        <v>234600</v>
      </c>
      <c r="G32" s="20" t="s">
        <v>756</v>
      </c>
      <c r="H32" s="20" t="str">
        <f aca="false">VLOOKUP(A32,Schedule_WBS!$A:$T,20,FALSE())</f>
        <v>Project Manager</v>
      </c>
      <c r="I32" s="20" t="s">
        <v>682</v>
      </c>
      <c r="J32" s="21" t="str">
        <f aca="false">VLOOKUP(A32,Schedule_WBS!$A:$K,11,FALSE())</f>
        <v>Yes</v>
      </c>
    </row>
    <row r="33" customFormat="false" ht="15" hidden="false" customHeight="false" outlineLevel="0" collapsed="false">
      <c r="A33" s="20" t="s">
        <v>540</v>
      </c>
      <c r="B33" s="5" t="s">
        <v>757</v>
      </c>
      <c r="C33" s="20" t="n">
        <f aca="false">VLOOKUP(A33,Schedule_WBS!$A:$E,5,FALSE())</f>
        <v>36</v>
      </c>
      <c r="D33" s="5" t="s">
        <v>758</v>
      </c>
      <c r="E33" s="44" t="str">
        <f aca="false">HYPERLINK("https://trello.com/c/8S47PE06","https://trello.com/c/8S47PE06")</f>
        <v>https://trello.com/c/8S47PE06</v>
      </c>
      <c r="F33" s="23" t="n">
        <f aca="false">VLOOKUP(A33,Schedule_WBS!$A:$N,14,FALSE())</f>
        <v>47600</v>
      </c>
      <c r="G33" s="20" t="s">
        <v>178</v>
      </c>
      <c r="H33" s="20" t="str">
        <f aca="false">VLOOKUP(A33,Schedule_WBS!$A:$T,20,FALSE())</f>
        <v>Project Manager</v>
      </c>
      <c r="I33" s="20" t="s">
        <v>759</v>
      </c>
      <c r="J33" s="21" t="str">
        <f aca="false">VLOOKUP(A33,Schedule_WBS!$A:$K,11,FALSE())</f>
        <v>Yes</v>
      </c>
    </row>
    <row r="34" customFormat="false" ht="15" hidden="false" customHeight="false" outlineLevel="0" collapsed="false">
      <c r="A34" s="20" t="s">
        <v>760</v>
      </c>
      <c r="B34" s="5" t="s">
        <v>761</v>
      </c>
      <c r="C34" s="20" t="n">
        <f aca="false">VLOOKUP(A34,Schedule_WBS!$A:$E,5,FALSE())</f>
        <v>37</v>
      </c>
      <c r="D34" s="5" t="s">
        <v>762</v>
      </c>
      <c r="E34" s="44" t="str">
        <f aca="false">HYPERLINK("https://trello.com/c/66UQ2c1G","https://trello.com/c/66UQ2c1G")</f>
        <v>https://trello.com/c/66UQ2c1G</v>
      </c>
      <c r="F34" s="23" t="n">
        <f aca="false">VLOOKUP(A34,Schedule_WBS!$A:$N,14,FALSE())</f>
        <v>10000</v>
      </c>
      <c r="G34" s="20" t="s">
        <v>682</v>
      </c>
      <c r="H34" s="20" t="str">
        <f aca="false">VLOOKUP(A34,Schedule_WBS!$A:$T,20,FALSE())</f>
        <v>Project Manager</v>
      </c>
      <c r="I34" s="20" t="s">
        <v>682</v>
      </c>
      <c r="J34" s="21" t="str">
        <f aca="false">VLOOKUP(A34,Schedule_WBS!$A:$K,11,FALSE())</f>
        <v>Yes</v>
      </c>
    </row>
    <row r="36" customFormat="false" ht="15" hidden="false" customHeight="false" outlineLevel="0" collapsed="false">
      <c r="B36" s="0" t="s">
        <v>763</v>
      </c>
      <c r="C36" s="0" t="n">
        <f aca="false">COUNTA(A5:A34)</f>
        <v>30</v>
      </c>
    </row>
  </sheetData>
  <conditionalFormatting sqref="J5:J34">
    <cfRule type="cellIs" priority="2" operator="equal" aboveAverage="0" equalAverage="0" bottom="0" percent="0" rank="0" text="" dxfId="0">
      <formula>"Yes"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26"/>
  </cols>
  <sheetData>
    <row r="1" customFormat="false" ht="18.55" hidden="false" customHeight="false" outlineLevel="0" collapsed="false">
      <c r="A1" s="19" t="s">
        <v>764</v>
      </c>
    </row>
    <row r="2" customFormat="false" ht="15" hidden="false" customHeight="false" outlineLevel="0" collapsed="false">
      <c r="A2" s="7" t="s">
        <v>222</v>
      </c>
    </row>
    <row r="4" customFormat="false" ht="31.5" hidden="false" customHeight="true" outlineLevel="0" collapsed="false">
      <c r="A4" s="3" t="s">
        <v>765</v>
      </c>
      <c r="B4" s="3" t="s">
        <v>766</v>
      </c>
      <c r="C4" s="3" t="s">
        <v>86</v>
      </c>
      <c r="D4" s="3" t="s">
        <v>50</v>
      </c>
    </row>
    <row r="5" customFormat="false" ht="15" hidden="false" customHeight="false" outlineLevel="0" collapsed="false">
      <c r="A5" s="20" t="n">
        <v>1</v>
      </c>
      <c r="B5" s="5" t="s">
        <v>767</v>
      </c>
      <c r="C5" s="20" t="s">
        <v>129</v>
      </c>
      <c r="D5" s="20" t="s">
        <v>561</v>
      </c>
    </row>
    <row r="6" customFormat="false" ht="15" hidden="false" customHeight="false" outlineLevel="0" collapsed="false">
      <c r="A6" s="20" t="n">
        <v>2</v>
      </c>
      <c r="B6" s="5" t="s">
        <v>768</v>
      </c>
      <c r="C6" s="20" t="s">
        <v>336</v>
      </c>
      <c r="D6" s="20" t="s">
        <v>561</v>
      </c>
    </row>
    <row r="7" customFormat="false" ht="15" hidden="false" customHeight="false" outlineLevel="0" collapsed="false">
      <c r="A7" s="20" t="n">
        <v>3</v>
      </c>
      <c r="B7" s="5" t="s">
        <v>769</v>
      </c>
      <c r="C7" s="20" t="s">
        <v>495</v>
      </c>
      <c r="D7" s="20" t="s">
        <v>561</v>
      </c>
    </row>
    <row r="8" customFormat="false" ht="23.85" hidden="false" customHeight="false" outlineLevel="0" collapsed="false">
      <c r="A8" s="20" t="n">
        <v>4</v>
      </c>
      <c r="B8" s="5" t="s">
        <v>770</v>
      </c>
      <c r="C8" s="20" t="s">
        <v>113</v>
      </c>
      <c r="D8" s="20" t="s">
        <v>561</v>
      </c>
    </row>
    <row r="9" customFormat="false" ht="15" hidden="false" customHeight="false" outlineLevel="0" collapsed="false">
      <c r="A9" s="20" t="n">
        <v>5</v>
      </c>
      <c r="B9" s="5" t="s">
        <v>771</v>
      </c>
      <c r="C9" s="20" t="s">
        <v>121</v>
      </c>
      <c r="D9" s="20" t="s">
        <v>561</v>
      </c>
    </row>
    <row r="10" customFormat="false" ht="15" hidden="false" customHeight="false" outlineLevel="0" collapsed="false">
      <c r="A10" s="20" t="n">
        <v>6</v>
      </c>
      <c r="B10" s="5" t="s">
        <v>772</v>
      </c>
      <c r="C10" s="20" t="s">
        <v>173</v>
      </c>
      <c r="D10" s="20" t="s">
        <v>561</v>
      </c>
    </row>
    <row r="11" customFormat="false" ht="15" hidden="false" customHeight="false" outlineLevel="0" collapsed="false">
      <c r="A11" s="20" t="n">
        <v>7</v>
      </c>
      <c r="B11" s="5" t="s">
        <v>773</v>
      </c>
      <c r="C11" s="20" t="s">
        <v>129</v>
      </c>
      <c r="D11" s="20" t="s">
        <v>561</v>
      </c>
    </row>
    <row r="12" customFormat="false" ht="15" hidden="false" customHeight="false" outlineLevel="0" collapsed="false">
      <c r="A12" s="20" t="n">
        <v>8</v>
      </c>
      <c r="B12" s="5" t="s">
        <v>774</v>
      </c>
      <c r="C12" s="20" t="s">
        <v>138</v>
      </c>
      <c r="D12" s="20" t="s">
        <v>561</v>
      </c>
    </row>
    <row r="13" customFormat="false" ht="15" hidden="false" customHeight="false" outlineLevel="0" collapsed="false">
      <c r="A13" s="20" t="n">
        <v>9</v>
      </c>
      <c r="B13" s="5" t="s">
        <v>775</v>
      </c>
      <c r="C13" s="20" t="s">
        <v>493</v>
      </c>
      <c r="D13" s="20" t="s">
        <v>561</v>
      </c>
    </row>
    <row r="14" customFormat="false" ht="15" hidden="false" customHeight="false" outlineLevel="0" collapsed="false">
      <c r="A14" s="20" t="n">
        <v>10</v>
      </c>
      <c r="B14" s="5" t="s">
        <v>776</v>
      </c>
      <c r="C14" s="20" t="s">
        <v>129</v>
      </c>
      <c r="D14" s="20" t="s">
        <v>777</v>
      </c>
    </row>
    <row r="15" customFormat="false" ht="15" hidden="false" customHeight="false" outlineLevel="0" collapsed="false">
      <c r="A15" s="20" t="n">
        <v>11</v>
      </c>
      <c r="B15" s="5" t="s">
        <v>778</v>
      </c>
      <c r="C15" s="20" t="s">
        <v>129</v>
      </c>
      <c r="D15" s="20" t="s">
        <v>561</v>
      </c>
    </row>
    <row r="16" customFormat="false" ht="15" hidden="false" customHeight="false" outlineLevel="0" collapsed="false">
      <c r="A16" s="20" t="n">
        <v>12</v>
      </c>
      <c r="B16" s="5" t="s">
        <v>779</v>
      </c>
      <c r="C16" s="20" t="s">
        <v>129</v>
      </c>
      <c r="D16" s="20" t="s">
        <v>561</v>
      </c>
    </row>
    <row r="17" customFormat="false" ht="15" hidden="false" customHeight="false" outlineLevel="0" collapsed="false">
      <c r="A17" s="20" t="n">
        <v>13</v>
      </c>
      <c r="B17" s="5" t="s">
        <v>780</v>
      </c>
      <c r="C17" s="20" t="s">
        <v>493</v>
      </c>
      <c r="D17" s="20" t="s">
        <v>561</v>
      </c>
    </row>
    <row r="18" customFormat="false" ht="15" hidden="false" customHeight="false" outlineLevel="0" collapsed="false">
      <c r="B18" s="0" t="s">
        <v>781</v>
      </c>
      <c r="D18" s="0" t="str">
        <f aca="false">COUNTIF(D5:D17,"Done")&amp;" of "&amp;COUNTA(B5:B17)</f>
        <v>0 of 13</v>
      </c>
    </row>
    <row r="20" customFormat="false" ht="15" hidden="false" customHeight="false" outlineLevel="0" collapsed="false">
      <c r="A20" s="14" t="s">
        <v>782</v>
      </c>
    </row>
    <row r="21" customFormat="false" ht="31.5" hidden="false" customHeight="true" outlineLevel="0" collapsed="false">
      <c r="A21" s="3" t="s">
        <v>765</v>
      </c>
      <c r="B21" s="3" t="s">
        <v>783</v>
      </c>
      <c r="C21" s="3" t="s">
        <v>784</v>
      </c>
      <c r="D21" s="3" t="s">
        <v>785</v>
      </c>
    </row>
    <row r="22" customFormat="false" ht="23.85" hidden="false" customHeight="false" outlineLevel="0" collapsed="false">
      <c r="A22" s="20" t="n">
        <v>1</v>
      </c>
      <c r="B22" s="5" t="s">
        <v>786</v>
      </c>
      <c r="C22" s="5" t="s">
        <v>787</v>
      </c>
      <c r="D22" s="5" t="s">
        <v>788</v>
      </c>
    </row>
    <row r="23" customFormat="false" ht="15" hidden="false" customHeight="false" outlineLevel="0" collapsed="false">
      <c r="A23" s="20" t="n">
        <v>2</v>
      </c>
      <c r="B23" s="5" t="s">
        <v>789</v>
      </c>
      <c r="C23" s="5" t="s">
        <v>790</v>
      </c>
      <c r="D23" s="5" t="s">
        <v>791</v>
      </c>
    </row>
    <row r="24" customFormat="false" ht="23.85" hidden="false" customHeight="false" outlineLevel="0" collapsed="false">
      <c r="A24" s="20" t="n">
        <v>3</v>
      </c>
      <c r="B24" s="5" t="s">
        <v>792</v>
      </c>
      <c r="C24" s="5" t="s">
        <v>793</v>
      </c>
      <c r="D24" s="5" t="s">
        <v>794</v>
      </c>
    </row>
    <row r="25" customFormat="false" ht="23.85" hidden="false" customHeight="false" outlineLevel="0" collapsed="false">
      <c r="A25" s="20" t="n">
        <v>4</v>
      </c>
      <c r="B25" s="5" t="s">
        <v>795</v>
      </c>
      <c r="C25" s="5" t="s">
        <v>796</v>
      </c>
      <c r="D25" s="5" t="s">
        <v>797</v>
      </c>
    </row>
    <row r="26" customFormat="false" ht="15" hidden="false" customHeight="false" outlineLevel="0" collapsed="false">
      <c r="A26" s="20" t="n">
        <v>5</v>
      </c>
      <c r="B26" s="5" t="s">
        <v>798</v>
      </c>
      <c r="C26" s="5" t="s">
        <v>799</v>
      </c>
      <c r="D26" s="5" t="s">
        <v>800</v>
      </c>
    </row>
    <row r="28" customFormat="false" ht="15" hidden="false" customHeight="false" outlineLevel="0" collapsed="false">
      <c r="A28" s="14" t="s">
        <v>801</v>
      </c>
    </row>
    <row r="29" customFormat="false" ht="31.5" hidden="false" customHeight="true" outlineLevel="0" collapsed="false">
      <c r="A29" s="3" t="s">
        <v>45</v>
      </c>
      <c r="B29" s="3" t="s">
        <v>802</v>
      </c>
      <c r="C29" s="3" t="s">
        <v>639</v>
      </c>
      <c r="D29" s="3" t="s">
        <v>803</v>
      </c>
    </row>
    <row r="30" customFormat="false" ht="35.05" hidden="false" customHeight="false" outlineLevel="0" collapsed="false">
      <c r="A30" s="20" t="s">
        <v>804</v>
      </c>
      <c r="B30" s="5" t="s">
        <v>805</v>
      </c>
      <c r="C30" s="5" t="s">
        <v>806</v>
      </c>
      <c r="D30" s="5" t="s">
        <v>807</v>
      </c>
    </row>
    <row r="31" customFormat="false" ht="35.05" hidden="false" customHeight="false" outlineLevel="0" collapsed="false">
      <c r="A31" s="20" t="s">
        <v>808</v>
      </c>
      <c r="B31" s="5" t="s">
        <v>809</v>
      </c>
      <c r="C31" s="5" t="s">
        <v>810</v>
      </c>
      <c r="D31" s="5" t="s">
        <v>811</v>
      </c>
    </row>
    <row r="32" customFormat="false" ht="35.05" hidden="false" customHeight="false" outlineLevel="0" collapsed="false">
      <c r="A32" s="20" t="s">
        <v>812</v>
      </c>
      <c r="B32" s="5" t="s">
        <v>813</v>
      </c>
      <c r="C32" s="5" t="s">
        <v>814</v>
      </c>
      <c r="D32" s="5" t="s">
        <v>815</v>
      </c>
    </row>
    <row r="33" customFormat="false" ht="23.85" hidden="false" customHeight="false" outlineLevel="0" collapsed="false">
      <c r="A33" s="20" t="s">
        <v>816</v>
      </c>
      <c r="B33" s="5" t="s">
        <v>817</v>
      </c>
      <c r="C33" s="5" t="s">
        <v>818</v>
      </c>
      <c r="D33" s="5" t="s">
        <v>819</v>
      </c>
    </row>
    <row r="34" customFormat="false" ht="35.05" hidden="false" customHeight="false" outlineLevel="0" collapsed="false">
      <c r="A34" s="20" t="s">
        <v>820</v>
      </c>
      <c r="B34" s="5" t="s">
        <v>821</v>
      </c>
      <c r="C34" s="5" t="s">
        <v>822</v>
      </c>
      <c r="D34" s="5" t="s">
        <v>823</v>
      </c>
    </row>
    <row r="35" customFormat="false" ht="23.85" hidden="false" customHeight="false" outlineLevel="0" collapsed="false">
      <c r="A35" s="20" t="s">
        <v>824</v>
      </c>
      <c r="B35" s="5" t="s">
        <v>825</v>
      </c>
      <c r="C35" s="5" t="s">
        <v>826</v>
      </c>
      <c r="D35" s="5" t="s">
        <v>827</v>
      </c>
    </row>
    <row r="36" customFormat="false" ht="23.85" hidden="false" customHeight="false" outlineLevel="0" collapsed="false">
      <c r="A36" s="20" t="s">
        <v>828</v>
      </c>
      <c r="B36" s="5" t="s">
        <v>829</v>
      </c>
      <c r="C36" s="5" t="s">
        <v>830</v>
      </c>
      <c r="D36" s="5" t="s">
        <v>831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8" min="6" style="0" width="12"/>
    <col collapsed="false" customWidth="true" hidden="false" outlineLevel="0" max="10" min="9" style="0" width="9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6" min="15" style="0" width="10"/>
    <col collapsed="false" customWidth="true" hidden="false" outlineLevel="0" max="19" min="17" style="0" width="12"/>
    <col collapsed="false" customWidth="true" hidden="false" outlineLevel="0" max="20" min="20" style="0" width="22"/>
  </cols>
  <sheetData>
    <row r="1" customFormat="false" ht="18.55" hidden="false" customHeight="false" outlineLevel="0" collapsed="false">
      <c r="A1" s="19" t="s">
        <v>832</v>
      </c>
    </row>
    <row r="2" customFormat="false" ht="15" hidden="false" customHeight="false" outlineLevel="0" collapsed="false">
      <c r="A2" s="7" t="s">
        <v>222</v>
      </c>
    </row>
    <row r="4" customFormat="false" ht="31.5" hidden="false" customHeight="true" outlineLevel="0" collapsed="false">
      <c r="A4" s="3" t="s">
        <v>223</v>
      </c>
      <c r="B4" s="3" t="s">
        <v>833</v>
      </c>
      <c r="C4" s="3" t="s">
        <v>834</v>
      </c>
      <c r="D4" s="3" t="s">
        <v>835</v>
      </c>
      <c r="E4" s="3" t="s">
        <v>836</v>
      </c>
      <c r="F4" s="3" t="s">
        <v>837</v>
      </c>
      <c r="G4" s="3" t="s">
        <v>838</v>
      </c>
      <c r="H4" s="3" t="s">
        <v>839</v>
      </c>
      <c r="I4" s="3" t="s">
        <v>840</v>
      </c>
      <c r="J4" s="3" t="s">
        <v>841</v>
      </c>
      <c r="K4" s="3" t="s">
        <v>842</v>
      </c>
      <c r="L4" s="3" t="s">
        <v>226</v>
      </c>
      <c r="M4" s="3" t="s">
        <v>843</v>
      </c>
      <c r="N4" s="3" t="s">
        <v>844</v>
      </c>
      <c r="O4" s="3" t="s">
        <v>845</v>
      </c>
      <c r="P4" s="3" t="s">
        <v>36</v>
      </c>
      <c r="Q4" s="3" t="s">
        <v>846</v>
      </c>
      <c r="R4" s="3" t="s">
        <v>847</v>
      </c>
      <c r="S4" s="3" t="s">
        <v>848</v>
      </c>
      <c r="T4" s="3" t="s">
        <v>849</v>
      </c>
    </row>
    <row r="5" customFormat="false" ht="15" hidden="false" customHeight="false" outlineLevel="0" collapsed="false">
      <c r="A5" s="20" t="s">
        <v>499</v>
      </c>
      <c r="B5" s="20" t="s">
        <v>233</v>
      </c>
      <c r="C5" s="20" t="s">
        <v>680</v>
      </c>
      <c r="D5" s="20" t="n">
        <v>10</v>
      </c>
      <c r="E5" s="20" t="n">
        <v>1</v>
      </c>
      <c r="F5" s="36" t="n">
        <v>46209</v>
      </c>
      <c r="G5" s="36" t="n">
        <v>46220</v>
      </c>
      <c r="H5" s="36" t="n">
        <v>46220</v>
      </c>
      <c r="I5" s="20" t="n">
        <v>0</v>
      </c>
      <c r="J5" s="20" t="n">
        <v>0</v>
      </c>
      <c r="K5" s="21" t="str">
        <f aca="false">IF(I5=0,"Yes","No")</f>
        <v>Yes</v>
      </c>
      <c r="L5" s="23" t="n">
        <f aca="false">SUMIF(Assignments!$A:$A,A5,Assignments!$G:$G)</f>
        <v>13400</v>
      </c>
      <c r="M5" s="23" t="n">
        <v>0</v>
      </c>
      <c r="N5" s="23" t="n">
        <f aca="false">L5+M5</f>
        <v>13400</v>
      </c>
      <c r="O5" s="29" t="n">
        <f aca="false">IF(N5=0,1,Q5/N5)</f>
        <v>1</v>
      </c>
      <c r="P5" s="29" t="n">
        <v>1</v>
      </c>
      <c r="Q5" s="23" t="n">
        <v>13400</v>
      </c>
      <c r="R5" s="23" t="n">
        <f aca="false">N5*P5</f>
        <v>13400</v>
      </c>
      <c r="S5" s="23" t="n">
        <v>13400</v>
      </c>
      <c r="T5" s="20" t="s">
        <v>493</v>
      </c>
    </row>
    <row r="6" customFormat="false" ht="15" hidden="false" customHeight="false" outlineLevel="0" collapsed="false">
      <c r="A6" s="20" t="s">
        <v>54</v>
      </c>
      <c r="B6" s="20" t="s">
        <v>233</v>
      </c>
      <c r="C6" s="20" t="s">
        <v>55</v>
      </c>
      <c r="D6" s="20" t="n">
        <v>0</v>
      </c>
      <c r="E6" s="20" t="n">
        <v>2</v>
      </c>
      <c r="F6" s="36" t="n">
        <v>46223</v>
      </c>
      <c r="G6" s="36" t="n">
        <v>46220</v>
      </c>
      <c r="H6" s="36" t="n">
        <v>46220</v>
      </c>
      <c r="I6" s="20" t="n">
        <v>0</v>
      </c>
      <c r="J6" s="20" t="n">
        <v>0</v>
      </c>
      <c r="K6" s="21" t="str">
        <f aca="false">IF(I6=0,"Yes","No")</f>
        <v>Yes</v>
      </c>
      <c r="L6" s="23" t="n">
        <f aca="false">SUMIF(Assignments!$A:$A,A6,Assignments!$G:$G)</f>
        <v>0</v>
      </c>
      <c r="M6" s="23" t="n">
        <v>0</v>
      </c>
      <c r="N6" s="23" t="n">
        <f aca="false">L6+M6</f>
        <v>0</v>
      </c>
      <c r="O6" s="29" t="n">
        <f aca="false">IF(N6=0,1,Q6/N6)</f>
        <v>1</v>
      </c>
      <c r="P6" s="29" t="n">
        <v>1</v>
      </c>
      <c r="Q6" s="23" t="n">
        <v>0</v>
      </c>
      <c r="R6" s="23" t="n">
        <f aca="false">N6*P6</f>
        <v>0</v>
      </c>
      <c r="S6" s="23" t="n">
        <v>0</v>
      </c>
      <c r="T6" s="20" t="s">
        <v>129</v>
      </c>
    </row>
    <row r="7" customFormat="false" ht="15" hidden="false" customHeight="false" outlineLevel="0" collapsed="false">
      <c r="A7" s="20" t="s">
        <v>683</v>
      </c>
      <c r="B7" s="20" t="s">
        <v>233</v>
      </c>
      <c r="C7" s="20" t="s">
        <v>684</v>
      </c>
      <c r="D7" s="20" t="n">
        <v>8</v>
      </c>
      <c r="E7" s="20" t="n">
        <v>3</v>
      </c>
      <c r="F7" s="36" t="n">
        <v>46223</v>
      </c>
      <c r="G7" s="36" t="n">
        <v>46232</v>
      </c>
      <c r="H7" s="36" t="n">
        <v>46232</v>
      </c>
      <c r="I7" s="20" t="n">
        <v>2</v>
      </c>
      <c r="J7" s="20" t="n">
        <v>2</v>
      </c>
      <c r="K7" s="21" t="str">
        <f aca="false">IF(I7=0,"Yes","No")</f>
        <v>No</v>
      </c>
      <c r="L7" s="23" t="n">
        <f aca="false">SUMIF(Assignments!$A:$A,A7,Assignments!$G:$G)</f>
        <v>12960</v>
      </c>
      <c r="M7" s="23" t="n">
        <v>0</v>
      </c>
      <c r="N7" s="23" t="n">
        <f aca="false">L7+M7</f>
        <v>12960</v>
      </c>
      <c r="O7" s="29" t="n">
        <f aca="false">IF(N7=0,1,Q7/N7)</f>
        <v>1</v>
      </c>
      <c r="P7" s="29" t="n">
        <v>1</v>
      </c>
      <c r="Q7" s="23" t="n">
        <v>12960</v>
      </c>
      <c r="R7" s="23" t="n">
        <f aca="false">N7*P7</f>
        <v>12960</v>
      </c>
      <c r="S7" s="23" t="n">
        <v>12960</v>
      </c>
      <c r="T7" s="20" t="s">
        <v>129</v>
      </c>
    </row>
    <row r="8" customFormat="false" ht="15" hidden="false" customHeight="false" outlineLevel="0" collapsed="false">
      <c r="A8" s="20" t="s">
        <v>686</v>
      </c>
      <c r="B8" s="20" t="s">
        <v>233</v>
      </c>
      <c r="C8" s="20" t="s">
        <v>687</v>
      </c>
      <c r="D8" s="20" t="n">
        <v>138</v>
      </c>
      <c r="E8" s="20" t="n">
        <v>4</v>
      </c>
      <c r="F8" s="36" t="n">
        <v>46233</v>
      </c>
      <c r="G8" s="36" t="n">
        <v>46437</v>
      </c>
      <c r="H8" s="36" t="n">
        <v>46437</v>
      </c>
      <c r="I8" s="20" t="n">
        <v>9</v>
      </c>
      <c r="J8" s="20" t="n">
        <v>19</v>
      </c>
      <c r="K8" s="21" t="str">
        <f aca="false">IF(I8=0,"Yes","No")</f>
        <v>No</v>
      </c>
      <c r="L8" s="23" t="n">
        <f aca="false">SUMIF(Assignments!$A:$A,A8,Assignments!$G:$G)</f>
        <v>92460</v>
      </c>
      <c r="M8" s="23" t="n">
        <v>0</v>
      </c>
      <c r="N8" s="23" t="n">
        <f aca="false">L8+M8</f>
        <v>92460</v>
      </c>
      <c r="O8" s="29" t="n">
        <f aca="false">IF(N8=0,0,Q8/N8)</f>
        <v>0.304347826086957</v>
      </c>
      <c r="P8" s="29" t="n">
        <v>0.304347826086957</v>
      </c>
      <c r="Q8" s="23" t="n">
        <v>28140</v>
      </c>
      <c r="R8" s="23" t="n">
        <f aca="false">N8*P8</f>
        <v>28140</v>
      </c>
      <c r="S8" s="23" t="n">
        <v>28140</v>
      </c>
      <c r="T8" s="20" t="s">
        <v>129</v>
      </c>
    </row>
    <row r="9" customFormat="false" ht="15" hidden="false" customHeight="false" outlineLevel="0" collapsed="false">
      <c r="A9" s="20" t="s">
        <v>689</v>
      </c>
      <c r="B9" s="20" t="s">
        <v>233</v>
      </c>
      <c r="C9" s="20" t="s">
        <v>690</v>
      </c>
      <c r="D9" s="20" t="n">
        <v>5</v>
      </c>
      <c r="E9" s="20" t="n">
        <v>5</v>
      </c>
      <c r="F9" s="36" t="n">
        <v>46451</v>
      </c>
      <c r="G9" s="36" t="n">
        <v>46457</v>
      </c>
      <c r="H9" s="36" t="n">
        <v>46471</v>
      </c>
      <c r="I9" s="20" t="n">
        <v>0</v>
      </c>
      <c r="J9" s="20" t="n">
        <v>0</v>
      </c>
      <c r="K9" s="21" t="str">
        <f aca="false">IF(I9=0,"Yes","No")</f>
        <v>Yes</v>
      </c>
      <c r="L9" s="23" t="n">
        <f aca="false">SUMIF(Assignments!$A:$A,A9,Assignments!$G:$G)</f>
        <v>6700</v>
      </c>
      <c r="M9" s="23" t="n">
        <v>0</v>
      </c>
      <c r="N9" s="23" t="n">
        <f aca="false">L9+M9</f>
        <v>6700</v>
      </c>
      <c r="O9" s="29" t="n">
        <f aca="false">IF(N9=0,0,Q9/N9)</f>
        <v>0</v>
      </c>
      <c r="P9" s="29" t="n">
        <v>0</v>
      </c>
      <c r="Q9" s="23" t="n">
        <v>0</v>
      </c>
      <c r="R9" s="23" t="n">
        <f aca="false">N9*P9</f>
        <v>0</v>
      </c>
      <c r="S9" s="23" t="n">
        <v>0</v>
      </c>
      <c r="T9" s="20" t="s">
        <v>129</v>
      </c>
    </row>
    <row r="10" customFormat="false" ht="15" hidden="false" customHeight="false" outlineLevel="0" collapsed="false">
      <c r="A10" s="20" t="s">
        <v>67</v>
      </c>
      <c r="B10" s="20" t="s">
        <v>233</v>
      </c>
      <c r="C10" s="20" t="s">
        <v>68</v>
      </c>
      <c r="D10" s="20" t="n">
        <v>0</v>
      </c>
      <c r="E10" s="20" t="n">
        <v>6</v>
      </c>
      <c r="F10" s="36" t="n">
        <v>46458</v>
      </c>
      <c r="G10" s="36" t="n">
        <v>46457</v>
      </c>
      <c r="H10" s="36" t="n">
        <v>46471</v>
      </c>
      <c r="I10" s="20" t="n">
        <v>0</v>
      </c>
      <c r="J10" s="20" t="n">
        <v>0</v>
      </c>
      <c r="K10" s="21" t="str">
        <f aca="false">IF(I10=0,"Yes","No")</f>
        <v>Yes</v>
      </c>
      <c r="L10" s="23" t="n">
        <f aca="false">SUMIF(Assignments!$A:$A,A10,Assignments!$G:$G)</f>
        <v>0</v>
      </c>
      <c r="M10" s="23" t="n">
        <v>0</v>
      </c>
      <c r="N10" s="23" t="n">
        <f aca="false">L10+M10</f>
        <v>0</v>
      </c>
      <c r="O10" s="29" t="n">
        <f aca="false">IF(N10=0,0,Q10/N10)</f>
        <v>0</v>
      </c>
      <c r="P10" s="29" t="n">
        <v>0</v>
      </c>
      <c r="Q10" s="23" t="n">
        <v>0</v>
      </c>
      <c r="R10" s="23" t="n">
        <f aca="false">N10*P10</f>
        <v>0</v>
      </c>
      <c r="S10" s="23" t="n">
        <v>0</v>
      </c>
      <c r="T10" s="20" t="s">
        <v>129</v>
      </c>
    </row>
    <row r="11" customFormat="false" ht="15" hidden="false" customHeight="false" outlineLevel="0" collapsed="false">
      <c r="A11" s="20" t="s">
        <v>692</v>
      </c>
      <c r="B11" s="20" t="s">
        <v>236</v>
      </c>
      <c r="C11" s="20" t="s">
        <v>693</v>
      </c>
      <c r="D11" s="20" t="n">
        <v>10</v>
      </c>
      <c r="E11" s="20" t="n">
        <v>7</v>
      </c>
      <c r="F11" s="36" t="n">
        <v>46223</v>
      </c>
      <c r="G11" s="36" t="n">
        <v>46234</v>
      </c>
      <c r="H11" s="36" t="n">
        <v>46234</v>
      </c>
      <c r="I11" s="20" t="n">
        <v>0</v>
      </c>
      <c r="J11" s="20" t="n">
        <v>0</v>
      </c>
      <c r="K11" s="21" t="str">
        <f aca="false">IF(I11=0,"Yes","No")</f>
        <v>Yes</v>
      </c>
      <c r="L11" s="23" t="n">
        <f aca="false">SUMIF(Assignments!$A:$A,A11,Assignments!$G:$G)</f>
        <v>14800</v>
      </c>
      <c r="M11" s="23" t="n">
        <v>0</v>
      </c>
      <c r="N11" s="23" t="n">
        <f aca="false">L11+M11</f>
        <v>14800</v>
      </c>
      <c r="O11" s="29" t="n">
        <f aca="false">IF(N11=0,1,Q11/N11)</f>
        <v>1</v>
      </c>
      <c r="P11" s="29" t="n">
        <v>1</v>
      </c>
      <c r="Q11" s="23" t="n">
        <v>14800</v>
      </c>
      <c r="R11" s="23" t="n">
        <f aca="false">N11*P11</f>
        <v>14800</v>
      </c>
      <c r="S11" s="23" t="n">
        <v>14800</v>
      </c>
      <c r="T11" s="20" t="s">
        <v>494</v>
      </c>
    </row>
    <row r="12" customFormat="false" ht="15" hidden="false" customHeight="false" outlineLevel="0" collapsed="false">
      <c r="A12" s="20" t="s">
        <v>695</v>
      </c>
      <c r="B12" s="20" t="s">
        <v>236</v>
      </c>
      <c r="C12" s="20" t="s">
        <v>696</v>
      </c>
      <c r="D12" s="20" t="n">
        <v>10</v>
      </c>
      <c r="E12" s="20" t="n">
        <v>8</v>
      </c>
      <c r="F12" s="36" t="n">
        <v>46237</v>
      </c>
      <c r="G12" s="36" t="n">
        <v>46248</v>
      </c>
      <c r="H12" s="36" t="n">
        <v>46248</v>
      </c>
      <c r="I12" s="20" t="n">
        <v>0</v>
      </c>
      <c r="J12" s="20" t="n">
        <v>0</v>
      </c>
      <c r="K12" s="21" t="str">
        <f aca="false">IF(I12=0,"Yes","No")</f>
        <v>Yes</v>
      </c>
      <c r="L12" s="23" t="n">
        <f aca="false">SUMIF(Assignments!$A:$A,A12,Assignments!$G:$G)</f>
        <v>15600</v>
      </c>
      <c r="M12" s="23" t="n">
        <v>0</v>
      </c>
      <c r="N12" s="23" t="n">
        <f aca="false">L12+M12</f>
        <v>15600</v>
      </c>
      <c r="O12" s="29" t="n">
        <f aca="false">IF(N12=0,1,Q12/N12)</f>
        <v>1</v>
      </c>
      <c r="P12" s="29" t="n">
        <v>1</v>
      </c>
      <c r="Q12" s="23" t="n">
        <v>15600</v>
      </c>
      <c r="R12" s="23" t="n">
        <f aca="false">N12*P12</f>
        <v>15600</v>
      </c>
      <c r="S12" s="23" t="n">
        <v>15600</v>
      </c>
      <c r="T12" s="20" t="s">
        <v>494</v>
      </c>
    </row>
    <row r="13" customFormat="false" ht="15" hidden="false" customHeight="false" outlineLevel="0" collapsed="false">
      <c r="A13" s="20" t="s">
        <v>508</v>
      </c>
      <c r="B13" s="20" t="s">
        <v>236</v>
      </c>
      <c r="C13" s="20" t="s">
        <v>507</v>
      </c>
      <c r="D13" s="20" t="n">
        <v>10</v>
      </c>
      <c r="E13" s="20" t="n">
        <v>9</v>
      </c>
      <c r="F13" s="36" t="n">
        <v>46251</v>
      </c>
      <c r="G13" s="36" t="n">
        <v>46262</v>
      </c>
      <c r="H13" s="36" t="n">
        <v>46262</v>
      </c>
      <c r="I13" s="20" t="n">
        <v>0</v>
      </c>
      <c r="J13" s="20" t="n">
        <v>0</v>
      </c>
      <c r="K13" s="21" t="str">
        <f aca="false">IF(I13=0,"Yes","No")</f>
        <v>Yes</v>
      </c>
      <c r="L13" s="23" t="n">
        <f aca="false">SUMIF(Assignments!$A:$A,A13,Assignments!$G:$G)</f>
        <v>18600</v>
      </c>
      <c r="M13" s="23" t="n">
        <v>0</v>
      </c>
      <c r="N13" s="23" t="n">
        <f aca="false">L13+M13</f>
        <v>18600</v>
      </c>
      <c r="O13" s="29" t="n">
        <f aca="false">IF(N13=0,1,Q13/N13)</f>
        <v>1</v>
      </c>
      <c r="P13" s="29" t="n">
        <v>1</v>
      </c>
      <c r="Q13" s="23" t="n">
        <v>18600</v>
      </c>
      <c r="R13" s="23" t="n">
        <f aca="false">N13*P13</f>
        <v>18600</v>
      </c>
      <c r="S13" s="23" t="n">
        <v>22320</v>
      </c>
      <c r="T13" s="20" t="s">
        <v>113</v>
      </c>
    </row>
    <row r="14" customFormat="false" ht="15" hidden="false" customHeight="false" outlineLevel="0" collapsed="false">
      <c r="A14" s="20" t="s">
        <v>510</v>
      </c>
      <c r="B14" s="20" t="s">
        <v>236</v>
      </c>
      <c r="C14" s="20" t="s">
        <v>509</v>
      </c>
      <c r="D14" s="20" t="n">
        <v>10</v>
      </c>
      <c r="E14" s="20" t="n">
        <v>10</v>
      </c>
      <c r="F14" s="36" t="n">
        <v>46258</v>
      </c>
      <c r="G14" s="36" t="n">
        <v>46269</v>
      </c>
      <c r="H14" s="36" t="n">
        <v>46269</v>
      </c>
      <c r="I14" s="20" t="n">
        <v>10</v>
      </c>
      <c r="J14" s="20" t="n">
        <v>20</v>
      </c>
      <c r="K14" s="21" t="str">
        <f aca="false">IF(I14=0,"Yes","No")</f>
        <v>No</v>
      </c>
      <c r="L14" s="23" t="n">
        <f aca="false">SUMIF(Assignments!$A:$A,A14,Assignments!$G:$G)</f>
        <v>10200</v>
      </c>
      <c r="M14" s="23" t="n">
        <v>0</v>
      </c>
      <c r="N14" s="23" t="n">
        <f aca="false">L14+M14</f>
        <v>10200</v>
      </c>
      <c r="O14" s="29" t="n">
        <f aca="false">IF(N14=0,1,Q14/N14)</f>
        <v>1</v>
      </c>
      <c r="P14" s="29" t="n">
        <v>1</v>
      </c>
      <c r="Q14" s="23" t="n">
        <v>10200</v>
      </c>
      <c r="R14" s="23" t="n">
        <f aca="false">N14*P14</f>
        <v>10200</v>
      </c>
      <c r="S14" s="23" t="n">
        <v>10200</v>
      </c>
      <c r="T14" s="20" t="s">
        <v>121</v>
      </c>
    </row>
    <row r="15" customFormat="false" ht="15" hidden="false" customHeight="false" outlineLevel="0" collapsed="false">
      <c r="A15" s="20" t="s">
        <v>701</v>
      </c>
      <c r="B15" s="20" t="s">
        <v>236</v>
      </c>
      <c r="C15" s="20" t="s">
        <v>702</v>
      </c>
      <c r="D15" s="20" t="n">
        <v>15</v>
      </c>
      <c r="E15" s="20" t="n">
        <v>11</v>
      </c>
      <c r="F15" s="36" t="n">
        <v>46251</v>
      </c>
      <c r="G15" s="36" t="n">
        <v>46269</v>
      </c>
      <c r="H15" s="36" t="n">
        <v>46269</v>
      </c>
      <c r="I15" s="20" t="n">
        <v>10</v>
      </c>
      <c r="J15" s="20" t="n">
        <v>20</v>
      </c>
      <c r="K15" s="21" t="str">
        <f aca="false">IF(I15=0,"Yes","No")</f>
        <v>No</v>
      </c>
      <c r="L15" s="23" t="n">
        <f aca="false">SUMIF(Assignments!$A:$A,A15,Assignments!$G:$G)</f>
        <v>17700</v>
      </c>
      <c r="M15" s="23" t="n">
        <v>0</v>
      </c>
      <c r="N15" s="23" t="n">
        <f aca="false">L15+M15</f>
        <v>17700</v>
      </c>
      <c r="O15" s="29" t="n">
        <f aca="false">IF(N15=0,1,Q15/N15)</f>
        <v>1</v>
      </c>
      <c r="P15" s="29" t="n">
        <v>1</v>
      </c>
      <c r="Q15" s="23" t="n">
        <v>17700</v>
      </c>
      <c r="R15" s="23" t="n">
        <f aca="false">N15*P15</f>
        <v>17700</v>
      </c>
      <c r="S15" s="23" t="n">
        <v>17700</v>
      </c>
      <c r="T15" s="20" t="s">
        <v>158</v>
      </c>
    </row>
    <row r="16" customFormat="false" ht="15" hidden="false" customHeight="false" outlineLevel="0" collapsed="false">
      <c r="A16" s="20" t="s">
        <v>57</v>
      </c>
      <c r="B16" s="20" t="s">
        <v>236</v>
      </c>
      <c r="C16" s="20" t="s">
        <v>58</v>
      </c>
      <c r="D16" s="20" t="n">
        <v>0</v>
      </c>
      <c r="E16" s="20" t="n">
        <v>12</v>
      </c>
      <c r="F16" s="36" t="n">
        <v>46272</v>
      </c>
      <c r="G16" s="36" t="n">
        <v>46269</v>
      </c>
      <c r="H16" s="36" t="n">
        <v>46269</v>
      </c>
      <c r="I16" s="20" t="n">
        <v>10</v>
      </c>
      <c r="J16" s="20" t="n">
        <v>20</v>
      </c>
      <c r="K16" s="21" t="str">
        <f aca="false">IF(I16=0,"Yes","No")</f>
        <v>No</v>
      </c>
      <c r="L16" s="23" t="n">
        <f aca="false">SUMIF(Assignments!$A:$A,A16,Assignments!$G:$G)</f>
        <v>0</v>
      </c>
      <c r="M16" s="23" t="n">
        <v>0</v>
      </c>
      <c r="N16" s="23" t="n">
        <f aca="false">L16+M16</f>
        <v>0</v>
      </c>
      <c r="O16" s="29" t="n">
        <f aca="false">IF(N16=0,1,Q16/N16)</f>
        <v>1</v>
      </c>
      <c r="P16" s="29" t="n">
        <v>1</v>
      </c>
      <c r="Q16" s="23" t="n">
        <v>0</v>
      </c>
      <c r="R16" s="23" t="n">
        <f aca="false">N16*P16</f>
        <v>0</v>
      </c>
      <c r="S16" s="23" t="n">
        <v>0</v>
      </c>
      <c r="T16" s="20" t="s">
        <v>129</v>
      </c>
    </row>
    <row r="17" customFormat="false" ht="15" hidden="false" customHeight="false" outlineLevel="0" collapsed="false">
      <c r="A17" s="20" t="s">
        <v>662</v>
      </c>
      <c r="B17" s="20" t="s">
        <v>239</v>
      </c>
      <c r="C17" s="20" t="s">
        <v>704</v>
      </c>
      <c r="D17" s="20" t="n">
        <v>10</v>
      </c>
      <c r="E17" s="20" t="n">
        <v>13</v>
      </c>
      <c r="F17" s="36" t="n">
        <v>46265</v>
      </c>
      <c r="G17" s="36" t="n">
        <v>46276</v>
      </c>
      <c r="H17" s="36" t="n">
        <v>46276</v>
      </c>
      <c r="I17" s="20" t="n">
        <v>5</v>
      </c>
      <c r="J17" s="20" t="n">
        <v>15</v>
      </c>
      <c r="K17" s="21" t="str">
        <f aca="false">IF(I17=0,"Yes","No")</f>
        <v>No</v>
      </c>
      <c r="L17" s="23" t="n">
        <f aca="false">SUMIF(Assignments!$A:$A,A17,Assignments!$G:$G)</f>
        <v>29300</v>
      </c>
      <c r="M17" s="23" t="n">
        <v>0</v>
      </c>
      <c r="N17" s="23" t="n">
        <f aca="false">L17+M17</f>
        <v>29300</v>
      </c>
      <c r="O17" s="29" t="n">
        <f aca="false">IF(N17=0,1,Q17/N17)</f>
        <v>1</v>
      </c>
      <c r="P17" s="29" t="n">
        <v>1</v>
      </c>
      <c r="Q17" s="23" t="n">
        <v>29300</v>
      </c>
      <c r="R17" s="23" t="n">
        <f aca="false">N17*P17</f>
        <v>29300</v>
      </c>
      <c r="S17" s="23" t="n">
        <v>29300</v>
      </c>
      <c r="T17" s="20" t="s">
        <v>138</v>
      </c>
    </row>
    <row r="18" customFormat="false" ht="15" hidden="false" customHeight="false" outlineLevel="0" collapsed="false">
      <c r="A18" s="20" t="s">
        <v>656</v>
      </c>
      <c r="B18" s="20" t="s">
        <v>239</v>
      </c>
      <c r="C18" s="20" t="s">
        <v>707</v>
      </c>
      <c r="D18" s="20" t="n">
        <v>10</v>
      </c>
      <c r="E18" s="20" t="n">
        <v>14</v>
      </c>
      <c r="F18" s="36" t="n">
        <v>46279</v>
      </c>
      <c r="G18" s="36" t="n">
        <v>46290</v>
      </c>
      <c r="H18" s="36" t="n">
        <v>46290</v>
      </c>
      <c r="I18" s="20" t="n">
        <v>5</v>
      </c>
      <c r="J18" s="20" t="n">
        <v>15</v>
      </c>
      <c r="K18" s="21" t="str">
        <f aca="false">IF(I18=0,"Yes","No")</f>
        <v>No</v>
      </c>
      <c r="L18" s="23" t="n">
        <f aca="false">SUMIF(Assignments!$A:$A,A18,Assignments!$G:$G)</f>
        <v>29300</v>
      </c>
      <c r="M18" s="23" t="n">
        <v>0</v>
      </c>
      <c r="N18" s="23" t="n">
        <f aca="false">L18+M18</f>
        <v>29300</v>
      </c>
      <c r="O18" s="29" t="n">
        <f aca="false">IF(N18=0,1,Q18/N18)</f>
        <v>1</v>
      </c>
      <c r="P18" s="29" t="n">
        <v>0.8</v>
      </c>
      <c r="Q18" s="23" t="n">
        <v>29300</v>
      </c>
      <c r="R18" s="23" t="n">
        <f aca="false">N18*P18</f>
        <v>23440</v>
      </c>
      <c r="S18" s="23" t="n">
        <v>23440</v>
      </c>
      <c r="T18" s="20" t="s">
        <v>138</v>
      </c>
    </row>
    <row r="19" customFormat="false" ht="15" hidden="false" customHeight="false" outlineLevel="0" collapsed="false">
      <c r="A19" s="20" t="s">
        <v>710</v>
      </c>
      <c r="B19" s="20" t="s">
        <v>239</v>
      </c>
      <c r="C19" s="20" t="s">
        <v>711</v>
      </c>
      <c r="D19" s="20" t="n">
        <v>10</v>
      </c>
      <c r="E19" s="20" t="n">
        <v>15</v>
      </c>
      <c r="F19" s="36" t="n">
        <v>46293</v>
      </c>
      <c r="G19" s="36" t="n">
        <v>46307</v>
      </c>
      <c r="H19" s="36" t="n">
        <v>46307</v>
      </c>
      <c r="I19" s="20" t="n">
        <v>5</v>
      </c>
      <c r="J19" s="20" t="n">
        <v>15</v>
      </c>
      <c r="K19" s="21" t="str">
        <f aca="false">IF(I19=0,"Yes","No")</f>
        <v>No</v>
      </c>
      <c r="L19" s="23" t="n">
        <f aca="false">SUMIF(Assignments!$A:$A,A19,Assignments!$G:$G)</f>
        <v>29300</v>
      </c>
      <c r="M19" s="23" t="n">
        <v>0</v>
      </c>
      <c r="N19" s="23" t="n">
        <f aca="false">L19+M19</f>
        <v>29300</v>
      </c>
      <c r="O19" s="29" t="n">
        <f aca="false">IF(N19=0,0,Q19/N19)</f>
        <v>0</v>
      </c>
      <c r="P19" s="29" t="n">
        <v>0</v>
      </c>
      <c r="Q19" s="23" t="n">
        <v>0</v>
      </c>
      <c r="R19" s="23" t="n">
        <f aca="false">N19*P19</f>
        <v>0</v>
      </c>
      <c r="S19" s="23" t="n">
        <v>0</v>
      </c>
      <c r="T19" s="20" t="s">
        <v>138</v>
      </c>
    </row>
    <row r="20" customFormat="false" ht="15" hidden="false" customHeight="false" outlineLevel="0" collapsed="false">
      <c r="A20" s="20" t="s">
        <v>713</v>
      </c>
      <c r="B20" s="20" t="s">
        <v>239</v>
      </c>
      <c r="C20" s="20" t="s">
        <v>714</v>
      </c>
      <c r="D20" s="20" t="n">
        <v>10</v>
      </c>
      <c r="E20" s="20" t="n">
        <v>16</v>
      </c>
      <c r="F20" s="36" t="n">
        <v>46308</v>
      </c>
      <c r="G20" s="36" t="n">
        <v>46321</v>
      </c>
      <c r="H20" s="36" t="n">
        <v>46321</v>
      </c>
      <c r="I20" s="20" t="n">
        <v>5</v>
      </c>
      <c r="J20" s="20" t="n">
        <v>15</v>
      </c>
      <c r="K20" s="21" t="str">
        <f aca="false">IF(I20=0,"Yes","No")</f>
        <v>No</v>
      </c>
      <c r="L20" s="23" t="n">
        <f aca="false">SUMIF(Assignments!$A:$A,A20,Assignments!$G:$G)</f>
        <v>29300</v>
      </c>
      <c r="M20" s="23" t="n">
        <v>0</v>
      </c>
      <c r="N20" s="23" t="n">
        <f aca="false">L20+M20</f>
        <v>29300</v>
      </c>
      <c r="O20" s="29" t="n">
        <f aca="false">IF(N20=0,0,Q20/N20)</f>
        <v>0</v>
      </c>
      <c r="P20" s="29" t="n">
        <v>0</v>
      </c>
      <c r="Q20" s="23" t="n">
        <v>0</v>
      </c>
      <c r="R20" s="23" t="n">
        <f aca="false">N20*P20</f>
        <v>0</v>
      </c>
      <c r="S20" s="23" t="n">
        <v>0</v>
      </c>
      <c r="T20" s="20" t="s">
        <v>138</v>
      </c>
    </row>
    <row r="21" customFormat="false" ht="15" hidden="false" customHeight="false" outlineLevel="0" collapsed="false">
      <c r="A21" s="20" t="s">
        <v>651</v>
      </c>
      <c r="B21" s="20" t="s">
        <v>239</v>
      </c>
      <c r="C21" s="20" t="s">
        <v>716</v>
      </c>
      <c r="D21" s="20" t="n">
        <v>20</v>
      </c>
      <c r="E21" s="20" t="n">
        <v>17</v>
      </c>
      <c r="F21" s="36" t="n">
        <v>46265</v>
      </c>
      <c r="G21" s="36" t="n">
        <v>46290</v>
      </c>
      <c r="H21" s="36" t="n">
        <v>46290</v>
      </c>
      <c r="I21" s="20" t="n">
        <v>5</v>
      </c>
      <c r="J21" s="20" t="n">
        <v>15</v>
      </c>
      <c r="K21" s="21" t="str">
        <f aca="false">IF(I21=0,"Yes","No")</f>
        <v>No</v>
      </c>
      <c r="L21" s="23" t="n">
        <f aca="false">SUMIF(Assignments!$A:$A,A21,Assignments!$G:$G)</f>
        <v>28000</v>
      </c>
      <c r="M21" s="23" t="n">
        <v>0</v>
      </c>
      <c r="N21" s="23" t="n">
        <f aca="false">L21+M21</f>
        <v>28000</v>
      </c>
      <c r="O21" s="29" t="n">
        <f aca="false">IF(N21=0,1,Q21/N21)</f>
        <v>1</v>
      </c>
      <c r="P21" s="29" t="n">
        <v>0.7</v>
      </c>
      <c r="Q21" s="23" t="n">
        <v>28000</v>
      </c>
      <c r="R21" s="23" t="n">
        <f aca="false">N21*P21</f>
        <v>19600</v>
      </c>
      <c r="S21" s="23" t="n">
        <v>19600</v>
      </c>
      <c r="T21" s="20" t="s">
        <v>113</v>
      </c>
    </row>
    <row r="22" customFormat="false" ht="15" hidden="false" customHeight="false" outlineLevel="0" collapsed="false">
      <c r="A22" s="20" t="s">
        <v>718</v>
      </c>
      <c r="B22" s="20" t="s">
        <v>239</v>
      </c>
      <c r="C22" s="20" t="s">
        <v>719</v>
      </c>
      <c r="D22" s="20" t="n">
        <v>10</v>
      </c>
      <c r="E22" s="20" t="n">
        <v>18</v>
      </c>
      <c r="F22" s="36" t="n">
        <v>46293</v>
      </c>
      <c r="G22" s="36" t="n">
        <v>46307</v>
      </c>
      <c r="H22" s="36" t="n">
        <v>46307</v>
      </c>
      <c r="I22" s="20" t="n">
        <v>15</v>
      </c>
      <c r="J22" s="20" t="n">
        <v>25</v>
      </c>
      <c r="K22" s="21" t="str">
        <f aca="false">IF(I22=0,"Yes","No")</f>
        <v>No</v>
      </c>
      <c r="L22" s="23" t="n">
        <f aca="false">SUMIF(Assignments!$A:$A,A22,Assignments!$G:$G)</f>
        <v>5600</v>
      </c>
      <c r="M22" s="23" t="n">
        <v>0</v>
      </c>
      <c r="N22" s="23" t="n">
        <f aca="false">L22+M22</f>
        <v>5600</v>
      </c>
      <c r="O22" s="29" t="n">
        <f aca="false">IF(N22=0,0,Q22/N22)</f>
        <v>0</v>
      </c>
      <c r="P22" s="29" t="n">
        <v>0</v>
      </c>
      <c r="Q22" s="23" t="n">
        <v>0</v>
      </c>
      <c r="R22" s="23" t="n">
        <f aca="false">N22*P22</f>
        <v>0</v>
      </c>
      <c r="S22" s="23" t="n">
        <v>0</v>
      </c>
      <c r="T22" s="20" t="s">
        <v>138</v>
      </c>
    </row>
    <row r="23" customFormat="false" ht="15" hidden="false" customHeight="false" outlineLevel="0" collapsed="false">
      <c r="A23" s="20" t="s">
        <v>59</v>
      </c>
      <c r="B23" s="20" t="s">
        <v>239</v>
      </c>
      <c r="C23" s="20" t="s">
        <v>60</v>
      </c>
      <c r="D23" s="20" t="n">
        <v>0</v>
      </c>
      <c r="E23" s="20" t="n">
        <v>19</v>
      </c>
      <c r="F23" s="36" t="n">
        <v>46322</v>
      </c>
      <c r="G23" s="36" t="n">
        <v>46321</v>
      </c>
      <c r="H23" s="36" t="n">
        <v>46321</v>
      </c>
      <c r="I23" s="20" t="n">
        <v>5</v>
      </c>
      <c r="J23" s="20" t="n">
        <v>15</v>
      </c>
      <c r="K23" s="21" t="str">
        <f aca="false">IF(I23=0,"Yes","No")</f>
        <v>No</v>
      </c>
      <c r="L23" s="23" t="n">
        <f aca="false">SUMIF(Assignments!$A:$A,A23,Assignments!$G:$G)</f>
        <v>0</v>
      </c>
      <c r="M23" s="23" t="n">
        <v>0</v>
      </c>
      <c r="N23" s="23" t="n">
        <f aca="false">L23+M23</f>
        <v>0</v>
      </c>
      <c r="O23" s="29" t="n">
        <f aca="false">IF(N23=0,0,Q23/N23)</f>
        <v>0</v>
      </c>
      <c r="P23" s="29" t="n">
        <v>0</v>
      </c>
      <c r="Q23" s="23" t="n">
        <v>0</v>
      </c>
      <c r="R23" s="23" t="n">
        <f aca="false">N23*P23</f>
        <v>0</v>
      </c>
      <c r="S23" s="23" t="n">
        <v>0</v>
      </c>
      <c r="T23" s="20" t="s">
        <v>129</v>
      </c>
    </row>
    <row r="24" customFormat="false" ht="15" hidden="false" customHeight="false" outlineLevel="0" collapsed="false">
      <c r="A24" s="20" t="s">
        <v>721</v>
      </c>
      <c r="B24" s="20" t="s">
        <v>242</v>
      </c>
      <c r="C24" s="20" t="s">
        <v>722</v>
      </c>
      <c r="D24" s="20" t="n">
        <v>10</v>
      </c>
      <c r="E24" s="20" t="n">
        <v>20</v>
      </c>
      <c r="F24" s="36" t="n">
        <v>46265</v>
      </c>
      <c r="G24" s="36" t="n">
        <v>46276</v>
      </c>
      <c r="H24" s="36" t="n">
        <v>46276</v>
      </c>
      <c r="I24" s="20" t="n">
        <v>0</v>
      </c>
      <c r="J24" s="20" t="n">
        <v>0</v>
      </c>
      <c r="K24" s="21" t="str">
        <f aca="false">IF(I24=0,"Yes","No")</f>
        <v>Yes</v>
      </c>
      <c r="L24" s="23" t="n">
        <f aca="false">SUMIF(Assignments!$A:$A,A24,Assignments!$G:$G)</f>
        <v>12600</v>
      </c>
      <c r="M24" s="23" t="n">
        <v>0</v>
      </c>
      <c r="N24" s="23" t="n">
        <f aca="false">L24+M24</f>
        <v>12600</v>
      </c>
      <c r="O24" s="29" t="n">
        <f aca="false">IF(N24=0,1,Q24/N24)</f>
        <v>1</v>
      </c>
      <c r="P24" s="29" t="n">
        <v>1</v>
      </c>
      <c r="Q24" s="23" t="n">
        <v>12600</v>
      </c>
      <c r="R24" s="23" t="n">
        <f aca="false">N24*P24</f>
        <v>12600</v>
      </c>
      <c r="S24" s="23" t="n">
        <v>15120</v>
      </c>
      <c r="T24" s="20" t="s">
        <v>104</v>
      </c>
    </row>
    <row r="25" customFormat="false" ht="15" hidden="false" customHeight="false" outlineLevel="0" collapsed="false">
      <c r="A25" s="20" t="s">
        <v>645</v>
      </c>
      <c r="B25" s="20" t="s">
        <v>242</v>
      </c>
      <c r="C25" s="20" t="s">
        <v>724</v>
      </c>
      <c r="D25" s="20" t="n">
        <v>15</v>
      </c>
      <c r="E25" s="20" t="n">
        <v>21</v>
      </c>
      <c r="F25" s="36" t="n">
        <v>46279</v>
      </c>
      <c r="G25" s="36" t="n">
        <v>46297</v>
      </c>
      <c r="H25" s="36" t="n">
        <v>46314</v>
      </c>
      <c r="I25" s="20" t="n">
        <v>0</v>
      </c>
      <c r="J25" s="20" t="n">
        <v>0</v>
      </c>
      <c r="K25" s="21" t="str">
        <f aca="false">IF(I25=0,"Yes","No")</f>
        <v>Yes</v>
      </c>
      <c r="L25" s="23" t="n">
        <f aca="false">SUMIF(Assignments!$A:$A,A25,Assignments!$G:$G)</f>
        <v>18300</v>
      </c>
      <c r="M25" s="23" t="n">
        <v>0</v>
      </c>
      <c r="N25" s="23" t="n">
        <f aca="false">L25+M25</f>
        <v>18300</v>
      </c>
      <c r="O25" s="29" t="n">
        <f aca="false">IF(N25=0,0,Q25/N25)</f>
        <v>0.666666666666667</v>
      </c>
      <c r="P25" s="29" t="n">
        <v>0.3</v>
      </c>
      <c r="Q25" s="23" t="n">
        <v>12200</v>
      </c>
      <c r="R25" s="23" t="n">
        <f aca="false">N25*P25</f>
        <v>5490</v>
      </c>
      <c r="S25" s="23" t="n">
        <v>9150</v>
      </c>
      <c r="T25" s="20" t="s">
        <v>104</v>
      </c>
    </row>
    <row r="26" customFormat="false" ht="15" hidden="false" customHeight="false" outlineLevel="0" collapsed="false">
      <c r="A26" s="20" t="s">
        <v>534</v>
      </c>
      <c r="B26" s="20" t="s">
        <v>242</v>
      </c>
      <c r="C26" s="20" t="s">
        <v>727</v>
      </c>
      <c r="D26" s="20" t="n">
        <v>20</v>
      </c>
      <c r="E26" s="20" t="n">
        <v>22</v>
      </c>
      <c r="F26" s="36" t="n">
        <v>46301</v>
      </c>
      <c r="G26" s="36" t="n">
        <v>46328</v>
      </c>
      <c r="H26" s="36" t="n">
        <v>46342</v>
      </c>
      <c r="I26" s="20" t="n">
        <v>0</v>
      </c>
      <c r="J26" s="20" t="n">
        <v>0</v>
      </c>
      <c r="K26" s="21" t="str">
        <f aca="false">IF(I26=0,"Yes","No")</f>
        <v>Yes</v>
      </c>
      <c r="L26" s="23" t="n">
        <f aca="false">SUMIF(Assignments!$A:$A,A26,Assignments!$G:$G)</f>
        <v>36600</v>
      </c>
      <c r="M26" s="23" t="n">
        <v>0</v>
      </c>
      <c r="N26" s="23" t="n">
        <f aca="false">L26+M26</f>
        <v>36600</v>
      </c>
      <c r="O26" s="29" t="n">
        <f aca="false">IF(N26=0,0,Q26/N26)</f>
        <v>0</v>
      </c>
      <c r="P26" s="29" t="n">
        <v>0</v>
      </c>
      <c r="Q26" s="23" t="n">
        <v>0</v>
      </c>
      <c r="R26" s="23" t="n">
        <f aca="false">N26*P26</f>
        <v>0</v>
      </c>
      <c r="S26" s="23" t="n">
        <v>0</v>
      </c>
      <c r="T26" s="20" t="s">
        <v>104</v>
      </c>
    </row>
    <row r="27" customFormat="false" ht="15" hidden="false" customHeight="false" outlineLevel="0" collapsed="false">
      <c r="A27" s="20" t="s">
        <v>61</v>
      </c>
      <c r="B27" s="20" t="s">
        <v>242</v>
      </c>
      <c r="C27" s="20" t="s">
        <v>62</v>
      </c>
      <c r="D27" s="20" t="n">
        <v>0</v>
      </c>
      <c r="E27" s="20" t="n">
        <v>23</v>
      </c>
      <c r="F27" s="36" t="n">
        <v>46329</v>
      </c>
      <c r="G27" s="36" t="n">
        <v>46328</v>
      </c>
      <c r="H27" s="36" t="n">
        <v>46342</v>
      </c>
      <c r="I27" s="20" t="n">
        <v>0</v>
      </c>
      <c r="J27" s="20" t="n">
        <v>0</v>
      </c>
      <c r="K27" s="21" t="str">
        <f aca="false">IF(I27=0,"Yes","No")</f>
        <v>Yes</v>
      </c>
      <c r="L27" s="23" t="n">
        <f aca="false">SUMIF(Assignments!$A:$A,A27,Assignments!$G:$G)</f>
        <v>0</v>
      </c>
      <c r="M27" s="23" t="n">
        <v>0</v>
      </c>
      <c r="N27" s="23" t="n">
        <f aca="false">L27+M27</f>
        <v>0</v>
      </c>
      <c r="O27" s="29" t="n">
        <f aca="false">IF(N27=0,0,Q27/N27)</f>
        <v>0</v>
      </c>
      <c r="P27" s="29" t="n">
        <v>0</v>
      </c>
      <c r="Q27" s="23" t="n">
        <v>0</v>
      </c>
      <c r="R27" s="23" t="n">
        <f aca="false">N27*P27</f>
        <v>0</v>
      </c>
      <c r="S27" s="23" t="n">
        <v>0</v>
      </c>
      <c r="T27" s="20" t="s">
        <v>129</v>
      </c>
    </row>
    <row r="28" customFormat="false" ht="15" hidden="false" customHeight="false" outlineLevel="0" collapsed="false">
      <c r="A28" s="20" t="s">
        <v>729</v>
      </c>
      <c r="B28" s="20" t="s">
        <v>242</v>
      </c>
      <c r="C28" s="20" t="s">
        <v>730</v>
      </c>
      <c r="D28" s="20" t="n">
        <v>5</v>
      </c>
      <c r="E28" s="20" t="n">
        <v>24</v>
      </c>
      <c r="F28" s="36" t="n">
        <v>46394</v>
      </c>
      <c r="G28" s="36" t="n">
        <v>46400</v>
      </c>
      <c r="H28" s="36" t="n">
        <v>46415</v>
      </c>
      <c r="I28" s="20" t="n">
        <v>0</v>
      </c>
      <c r="J28" s="20" t="n">
        <v>0</v>
      </c>
      <c r="K28" s="21" t="str">
        <f aca="false">IF(I28=0,"Yes","No")</f>
        <v>Yes</v>
      </c>
      <c r="L28" s="23" t="n">
        <f aca="false">SUMIF(Assignments!$A:$A,A28,Assignments!$G:$G)</f>
        <v>8900</v>
      </c>
      <c r="M28" s="23" t="n">
        <v>0</v>
      </c>
      <c r="N28" s="23" t="n">
        <f aca="false">L28+M28</f>
        <v>8900</v>
      </c>
      <c r="O28" s="29" t="n">
        <f aca="false">IF(N28=0,0,Q28/N28)</f>
        <v>0</v>
      </c>
      <c r="P28" s="29" t="n">
        <v>0</v>
      </c>
      <c r="Q28" s="23" t="n">
        <v>0</v>
      </c>
      <c r="R28" s="23" t="n">
        <f aca="false">N28*P28</f>
        <v>0</v>
      </c>
      <c r="S28" s="23" t="n">
        <v>0</v>
      </c>
      <c r="T28" s="20" t="s">
        <v>104</v>
      </c>
    </row>
    <row r="29" customFormat="false" ht="15" hidden="false" customHeight="false" outlineLevel="0" collapsed="false">
      <c r="A29" s="20" t="s">
        <v>733</v>
      </c>
      <c r="B29" s="20" t="s">
        <v>245</v>
      </c>
      <c r="C29" s="20" t="s">
        <v>734</v>
      </c>
      <c r="D29" s="20" t="n">
        <v>15</v>
      </c>
      <c r="E29" s="20" t="n">
        <v>25</v>
      </c>
      <c r="F29" s="36" t="n">
        <v>46329</v>
      </c>
      <c r="G29" s="36" t="n">
        <v>46349</v>
      </c>
      <c r="H29" s="36" t="n">
        <v>46363</v>
      </c>
      <c r="I29" s="20" t="n">
        <v>0</v>
      </c>
      <c r="J29" s="20" t="n">
        <v>0</v>
      </c>
      <c r="K29" s="21" t="str">
        <f aca="false">IF(I29=0,"Yes","No")</f>
        <v>Yes</v>
      </c>
      <c r="L29" s="23" t="n">
        <f aca="false">SUMIF(Assignments!$A:$A,A29,Assignments!$G:$G)</f>
        <v>34200</v>
      </c>
      <c r="M29" s="23" t="n">
        <v>0</v>
      </c>
      <c r="N29" s="23" t="n">
        <f aca="false">L29+M29</f>
        <v>34200</v>
      </c>
      <c r="O29" s="29" t="n">
        <f aca="false">IF(N29=0,0,Q29/N29)</f>
        <v>0</v>
      </c>
      <c r="P29" s="29" t="n">
        <v>0</v>
      </c>
      <c r="Q29" s="23" t="n">
        <v>0</v>
      </c>
      <c r="R29" s="23" t="n">
        <f aca="false">N29*P29</f>
        <v>0</v>
      </c>
      <c r="S29" s="23" t="n">
        <v>0</v>
      </c>
      <c r="T29" s="20" t="s">
        <v>495</v>
      </c>
    </row>
    <row r="30" customFormat="false" ht="15" hidden="false" customHeight="false" outlineLevel="0" collapsed="false">
      <c r="A30" s="20" t="s">
        <v>736</v>
      </c>
      <c r="B30" s="20" t="s">
        <v>245</v>
      </c>
      <c r="C30" s="20" t="s">
        <v>737</v>
      </c>
      <c r="D30" s="20" t="n">
        <v>10</v>
      </c>
      <c r="E30" s="20" t="n">
        <v>26</v>
      </c>
      <c r="F30" s="36" t="n">
        <v>46322</v>
      </c>
      <c r="G30" s="36" t="n">
        <v>46335</v>
      </c>
      <c r="H30" s="36" t="n">
        <v>46335</v>
      </c>
      <c r="I30" s="20" t="n">
        <v>25</v>
      </c>
      <c r="J30" s="20" t="n">
        <v>35</v>
      </c>
      <c r="K30" s="21" t="str">
        <f aca="false">IF(I30=0,"Yes","No")</f>
        <v>No</v>
      </c>
      <c r="L30" s="23" t="n">
        <f aca="false">SUMIF(Assignments!$A:$A,A30,Assignments!$G:$G)</f>
        <v>17000</v>
      </c>
      <c r="M30" s="23" t="n">
        <v>25000</v>
      </c>
      <c r="N30" s="23" t="n">
        <f aca="false">L30+M30</f>
        <v>42000</v>
      </c>
      <c r="O30" s="29" t="n">
        <f aca="false">IF(N30=0,0,Q30/N30)</f>
        <v>0</v>
      </c>
      <c r="P30" s="29" t="n">
        <v>0</v>
      </c>
      <c r="Q30" s="23" t="n">
        <v>0</v>
      </c>
      <c r="R30" s="23" t="n">
        <f aca="false">N30*P30</f>
        <v>0</v>
      </c>
      <c r="S30" s="23" t="n">
        <v>0</v>
      </c>
      <c r="T30" s="20" t="s">
        <v>495</v>
      </c>
    </row>
    <row r="31" customFormat="false" ht="15" hidden="false" customHeight="false" outlineLevel="0" collapsed="false">
      <c r="A31" s="20" t="s">
        <v>555</v>
      </c>
      <c r="B31" s="20" t="s">
        <v>245</v>
      </c>
      <c r="C31" s="20" t="s">
        <v>739</v>
      </c>
      <c r="D31" s="20" t="n">
        <v>10</v>
      </c>
      <c r="E31" s="20" t="n">
        <v>27</v>
      </c>
      <c r="F31" s="36" t="n">
        <v>46315</v>
      </c>
      <c r="G31" s="36" t="n">
        <v>46328</v>
      </c>
      <c r="H31" s="36" t="n">
        <v>46328</v>
      </c>
      <c r="I31" s="20" t="n">
        <v>30</v>
      </c>
      <c r="J31" s="20" t="n">
        <v>40</v>
      </c>
      <c r="K31" s="21" t="str">
        <f aca="false">IF(I31=0,"Yes","No")</f>
        <v>No</v>
      </c>
      <c r="L31" s="23" t="n">
        <f aca="false">SUMIF(Assignments!$A:$A,A31,Assignments!$G:$G)</f>
        <v>11000</v>
      </c>
      <c r="M31" s="23" t="n">
        <v>0</v>
      </c>
      <c r="N31" s="23" t="n">
        <f aca="false">L31+M31</f>
        <v>11000</v>
      </c>
      <c r="O31" s="29" t="n">
        <f aca="false">IF(N31=0,0,Q31/N31)</f>
        <v>0</v>
      </c>
      <c r="P31" s="29" t="n">
        <v>0</v>
      </c>
      <c r="Q31" s="23" t="n">
        <v>0</v>
      </c>
      <c r="R31" s="23" t="n">
        <f aca="false">N31*P31</f>
        <v>0</v>
      </c>
      <c r="S31" s="23" t="n">
        <v>0</v>
      </c>
      <c r="T31" s="20" t="s">
        <v>158</v>
      </c>
    </row>
    <row r="32" customFormat="false" ht="15" hidden="false" customHeight="false" outlineLevel="0" collapsed="false">
      <c r="A32" s="20" t="s">
        <v>548</v>
      </c>
      <c r="B32" s="20" t="s">
        <v>245</v>
      </c>
      <c r="C32" s="20" t="s">
        <v>741</v>
      </c>
      <c r="D32" s="20" t="n">
        <v>10</v>
      </c>
      <c r="E32" s="20" t="n">
        <v>28</v>
      </c>
      <c r="F32" s="36" t="n">
        <v>46336</v>
      </c>
      <c r="G32" s="36" t="n">
        <v>46349</v>
      </c>
      <c r="H32" s="36" t="n">
        <v>46363</v>
      </c>
      <c r="I32" s="20" t="n">
        <v>15</v>
      </c>
      <c r="J32" s="20" t="n">
        <v>15</v>
      </c>
      <c r="K32" s="21" t="str">
        <f aca="false">IF(I32=0,"Yes","No")</f>
        <v>No</v>
      </c>
      <c r="L32" s="23" t="n">
        <f aca="false">SUMIF(Assignments!$A:$A,A32,Assignments!$G:$G)</f>
        <v>9800</v>
      </c>
      <c r="M32" s="23" t="n">
        <v>0</v>
      </c>
      <c r="N32" s="23" t="n">
        <f aca="false">L32+M32</f>
        <v>9800</v>
      </c>
      <c r="O32" s="29" t="n">
        <f aca="false">IF(N32=0,0,Q32/N32)</f>
        <v>0</v>
      </c>
      <c r="P32" s="29" t="n">
        <v>0</v>
      </c>
      <c r="Q32" s="23" t="n">
        <v>0</v>
      </c>
      <c r="R32" s="23" t="n">
        <f aca="false">N32*P32</f>
        <v>0</v>
      </c>
      <c r="S32" s="23" t="n">
        <v>0</v>
      </c>
      <c r="T32" s="20" t="s">
        <v>113</v>
      </c>
    </row>
    <row r="33" customFormat="false" ht="15" hidden="false" customHeight="false" outlineLevel="0" collapsed="false">
      <c r="A33" s="20" t="s">
        <v>562</v>
      </c>
      <c r="B33" s="20" t="s">
        <v>245</v>
      </c>
      <c r="C33" s="20" t="s">
        <v>743</v>
      </c>
      <c r="D33" s="20" t="n">
        <v>15</v>
      </c>
      <c r="E33" s="20" t="n">
        <v>29</v>
      </c>
      <c r="F33" s="36" t="n">
        <v>46350</v>
      </c>
      <c r="G33" s="36" t="n">
        <v>46370</v>
      </c>
      <c r="H33" s="36" t="n">
        <v>46393</v>
      </c>
      <c r="I33" s="20" t="n">
        <v>0</v>
      </c>
      <c r="J33" s="20" t="n">
        <v>0</v>
      </c>
      <c r="K33" s="21" t="str">
        <f aca="false">IF(I33=0,"Yes","No")</f>
        <v>Yes</v>
      </c>
      <c r="L33" s="23" t="n">
        <f aca="false">SUMIF(Assignments!$A:$A,A33,Assignments!$G:$G)</f>
        <v>27000</v>
      </c>
      <c r="M33" s="23" t="n">
        <v>0</v>
      </c>
      <c r="N33" s="23" t="n">
        <f aca="false">L33+M33</f>
        <v>27000</v>
      </c>
      <c r="O33" s="29" t="n">
        <f aca="false">IF(N33=0,0,Q33/N33)</f>
        <v>0</v>
      </c>
      <c r="P33" s="29" t="n">
        <v>0</v>
      </c>
      <c r="Q33" s="23" t="n">
        <v>0</v>
      </c>
      <c r="R33" s="23" t="n">
        <f aca="false">N33*P33</f>
        <v>0</v>
      </c>
      <c r="S33" s="23" t="n">
        <v>0</v>
      </c>
      <c r="T33" s="20" t="s">
        <v>495</v>
      </c>
    </row>
    <row r="34" customFormat="false" ht="15" hidden="false" customHeight="false" outlineLevel="0" collapsed="false">
      <c r="A34" s="20" t="s">
        <v>567</v>
      </c>
      <c r="B34" s="20" t="s">
        <v>245</v>
      </c>
      <c r="C34" s="20" t="s">
        <v>745</v>
      </c>
      <c r="D34" s="20" t="n">
        <v>8</v>
      </c>
      <c r="E34" s="20" t="n">
        <v>30</v>
      </c>
      <c r="F34" s="36" t="n">
        <v>46357</v>
      </c>
      <c r="G34" s="36" t="n">
        <v>46366</v>
      </c>
      <c r="H34" s="36" t="n">
        <v>46391</v>
      </c>
      <c r="I34" s="20" t="n">
        <v>2</v>
      </c>
      <c r="J34" s="20" t="n">
        <v>2</v>
      </c>
      <c r="K34" s="21" t="str">
        <f aca="false">IF(I34=0,"Yes","No")</f>
        <v>No</v>
      </c>
      <c r="L34" s="23" t="n">
        <f aca="false">SUMIF(Assignments!$A:$A,A34,Assignments!$G:$G)</f>
        <v>16160</v>
      </c>
      <c r="M34" s="23" t="n">
        <v>0</v>
      </c>
      <c r="N34" s="23" t="n">
        <f aca="false">L34+M34</f>
        <v>16160</v>
      </c>
      <c r="O34" s="29" t="n">
        <f aca="false">IF(N34=0,0,Q34/N34)</f>
        <v>0</v>
      </c>
      <c r="P34" s="29" t="n">
        <v>0</v>
      </c>
      <c r="Q34" s="23" t="n">
        <v>0</v>
      </c>
      <c r="R34" s="23" t="n">
        <f aca="false">N34*P34</f>
        <v>0</v>
      </c>
      <c r="S34" s="23" t="n">
        <v>0</v>
      </c>
      <c r="T34" s="20" t="s">
        <v>495</v>
      </c>
    </row>
    <row r="35" customFormat="false" ht="15" hidden="false" customHeight="false" outlineLevel="0" collapsed="false">
      <c r="A35" s="20" t="s">
        <v>63</v>
      </c>
      <c r="B35" s="20" t="s">
        <v>245</v>
      </c>
      <c r="C35" s="20" t="s">
        <v>64</v>
      </c>
      <c r="D35" s="20" t="n">
        <v>0</v>
      </c>
      <c r="E35" s="20" t="n">
        <v>31</v>
      </c>
      <c r="F35" s="36" t="n">
        <v>46371</v>
      </c>
      <c r="G35" s="36" t="n">
        <v>46370</v>
      </c>
      <c r="H35" s="36" t="n">
        <v>46393</v>
      </c>
      <c r="I35" s="20" t="n">
        <v>0</v>
      </c>
      <c r="J35" s="20" t="n">
        <v>0</v>
      </c>
      <c r="K35" s="21" t="str">
        <f aca="false">IF(I35=0,"Yes","No")</f>
        <v>Yes</v>
      </c>
      <c r="L35" s="23" t="n">
        <f aca="false">SUMIF(Assignments!$A:$A,A35,Assignments!$G:$G)</f>
        <v>0</v>
      </c>
      <c r="M35" s="23" t="n">
        <v>0</v>
      </c>
      <c r="N35" s="23" t="n">
        <f aca="false">L35+M35</f>
        <v>0</v>
      </c>
      <c r="O35" s="29" t="n">
        <f aca="false">IF(N35=0,0,Q35/N35)</f>
        <v>0</v>
      </c>
      <c r="P35" s="29" t="n">
        <v>0</v>
      </c>
      <c r="Q35" s="23" t="n">
        <v>0</v>
      </c>
      <c r="R35" s="23" t="n">
        <f aca="false">N35*P35</f>
        <v>0</v>
      </c>
      <c r="S35" s="23" t="n">
        <v>0</v>
      </c>
      <c r="T35" s="20" t="s">
        <v>129</v>
      </c>
    </row>
    <row r="36" customFormat="false" ht="15" hidden="false" customHeight="false" outlineLevel="0" collapsed="false">
      <c r="A36" s="20" t="s">
        <v>747</v>
      </c>
      <c r="B36" s="20" t="s">
        <v>248</v>
      </c>
      <c r="C36" s="20" t="s">
        <v>748</v>
      </c>
      <c r="D36" s="20" t="n">
        <v>20</v>
      </c>
      <c r="E36" s="20" t="n">
        <v>32</v>
      </c>
      <c r="F36" s="36" t="n">
        <v>46322</v>
      </c>
      <c r="G36" s="36" t="n">
        <v>46349</v>
      </c>
      <c r="H36" s="36" t="n">
        <v>46349</v>
      </c>
      <c r="I36" s="20" t="n">
        <v>30</v>
      </c>
      <c r="J36" s="20" t="n">
        <v>40</v>
      </c>
      <c r="K36" s="21" t="str">
        <f aca="false">IF(I36=0,"Yes","No")</f>
        <v>No</v>
      </c>
      <c r="L36" s="23" t="n">
        <f aca="false">SUMIF(Assignments!$A:$A,A36,Assignments!$G:$G)</f>
        <v>14400</v>
      </c>
      <c r="M36" s="23" t="n">
        <v>8000</v>
      </c>
      <c r="N36" s="23" t="n">
        <f aca="false">L36+M36</f>
        <v>22400</v>
      </c>
      <c r="O36" s="29" t="n">
        <f aca="false">IF(N36=0,0,Q36/N36)</f>
        <v>0</v>
      </c>
      <c r="P36" s="29" t="n">
        <v>0</v>
      </c>
      <c r="Q36" s="23" t="n">
        <v>0</v>
      </c>
      <c r="R36" s="23" t="n">
        <f aca="false">N36*P36</f>
        <v>0</v>
      </c>
      <c r="S36" s="23" t="n">
        <v>0</v>
      </c>
      <c r="T36" s="20" t="s">
        <v>129</v>
      </c>
    </row>
    <row r="37" customFormat="false" ht="15" hidden="false" customHeight="false" outlineLevel="0" collapsed="false">
      <c r="A37" s="20" t="s">
        <v>195</v>
      </c>
      <c r="B37" s="20" t="s">
        <v>248</v>
      </c>
      <c r="C37" s="20" t="s">
        <v>751</v>
      </c>
      <c r="D37" s="20" t="n">
        <v>10</v>
      </c>
      <c r="E37" s="20" t="n">
        <v>33</v>
      </c>
      <c r="F37" s="36" t="n">
        <v>46371</v>
      </c>
      <c r="G37" s="36" t="n">
        <v>46393</v>
      </c>
      <c r="H37" s="36" t="n">
        <v>46407</v>
      </c>
      <c r="I37" s="20" t="n">
        <v>0</v>
      </c>
      <c r="J37" s="20" t="n">
        <v>0</v>
      </c>
      <c r="K37" s="21" t="str">
        <f aca="false">IF(I37=0,"Yes","No")</f>
        <v>Yes</v>
      </c>
      <c r="L37" s="23" t="n">
        <f aca="false">SUMIF(Assignments!$A:$A,A37,Assignments!$G:$G)</f>
        <v>15800</v>
      </c>
      <c r="M37" s="23" t="n">
        <v>0</v>
      </c>
      <c r="N37" s="23" t="n">
        <f aca="false">L37+M37</f>
        <v>15800</v>
      </c>
      <c r="O37" s="29" t="n">
        <f aca="false">IF(N37=0,0,Q37/N37)</f>
        <v>0</v>
      </c>
      <c r="P37" s="29" t="n">
        <v>0</v>
      </c>
      <c r="Q37" s="23" t="n">
        <v>0</v>
      </c>
      <c r="R37" s="23" t="n">
        <f aca="false">N37*P37</f>
        <v>0</v>
      </c>
      <c r="S37" s="23" t="n">
        <v>0</v>
      </c>
      <c r="T37" s="20" t="s">
        <v>129</v>
      </c>
    </row>
    <row r="38" customFormat="false" ht="15" hidden="false" customHeight="false" outlineLevel="0" collapsed="false">
      <c r="A38" s="20" t="s">
        <v>172</v>
      </c>
      <c r="B38" s="20" t="s">
        <v>248</v>
      </c>
      <c r="C38" s="20" t="s">
        <v>754</v>
      </c>
      <c r="D38" s="20" t="n">
        <v>5</v>
      </c>
      <c r="E38" s="20" t="n">
        <v>34</v>
      </c>
      <c r="F38" s="36" t="n">
        <v>46401</v>
      </c>
      <c r="G38" s="36" t="n">
        <v>46407</v>
      </c>
      <c r="H38" s="36" t="n">
        <v>46422</v>
      </c>
      <c r="I38" s="20" t="n">
        <v>0</v>
      </c>
      <c r="J38" s="20" t="n">
        <v>0</v>
      </c>
      <c r="K38" s="21" t="str">
        <f aca="false">IF(I38=0,"Yes","No")</f>
        <v>Yes</v>
      </c>
      <c r="L38" s="23" t="n">
        <f aca="false">SUMIF(Assignments!$A:$A,A38,Assignments!$G:$G)</f>
        <v>18600</v>
      </c>
      <c r="M38" s="23" t="n">
        <v>216000</v>
      </c>
      <c r="N38" s="23" t="n">
        <f aca="false">L38+M38</f>
        <v>234600</v>
      </c>
      <c r="O38" s="29" t="n">
        <f aca="false">IF(N38=0,0,Q38/N38)</f>
        <v>0</v>
      </c>
      <c r="P38" s="29" t="n">
        <v>0</v>
      </c>
      <c r="Q38" s="23" t="n">
        <v>0</v>
      </c>
      <c r="R38" s="23" t="n">
        <f aca="false">N38*P38</f>
        <v>0</v>
      </c>
      <c r="S38" s="23" t="n">
        <v>0</v>
      </c>
      <c r="T38" s="20" t="s">
        <v>129</v>
      </c>
    </row>
    <row r="39" customFormat="false" ht="15" hidden="false" customHeight="false" outlineLevel="0" collapsed="false">
      <c r="A39" s="20" t="s">
        <v>65</v>
      </c>
      <c r="B39" s="20" t="s">
        <v>248</v>
      </c>
      <c r="C39" s="20" t="s">
        <v>66</v>
      </c>
      <c r="D39" s="20" t="n">
        <v>0</v>
      </c>
      <c r="E39" s="20" t="n">
        <v>35</v>
      </c>
      <c r="F39" s="36" t="n">
        <v>46408</v>
      </c>
      <c r="G39" s="36" t="n">
        <v>46407</v>
      </c>
      <c r="H39" s="36" t="n">
        <v>46422</v>
      </c>
      <c r="I39" s="20" t="n">
        <v>0</v>
      </c>
      <c r="J39" s="20" t="n">
        <v>0</v>
      </c>
      <c r="K39" s="21" t="str">
        <f aca="false">IF(I39=0,"Yes","No")</f>
        <v>Yes</v>
      </c>
      <c r="L39" s="23" t="n">
        <f aca="false">SUMIF(Assignments!$A:$A,A39,Assignments!$G:$G)</f>
        <v>0</v>
      </c>
      <c r="M39" s="23" t="n">
        <v>0</v>
      </c>
      <c r="N39" s="23" t="n">
        <f aca="false">L39+M39</f>
        <v>0</v>
      </c>
      <c r="O39" s="29" t="n">
        <f aca="false">IF(N39=0,0,Q39/N39)</f>
        <v>0</v>
      </c>
      <c r="P39" s="29" t="n">
        <v>0</v>
      </c>
      <c r="Q39" s="23" t="n">
        <v>0</v>
      </c>
      <c r="R39" s="23" t="n">
        <f aca="false">N39*P39</f>
        <v>0</v>
      </c>
      <c r="S39" s="23" t="n">
        <v>0</v>
      </c>
      <c r="T39" s="20" t="s">
        <v>129</v>
      </c>
    </row>
    <row r="40" customFormat="false" ht="15" hidden="false" customHeight="false" outlineLevel="0" collapsed="false">
      <c r="A40" s="20" t="s">
        <v>540</v>
      </c>
      <c r="B40" s="20" t="s">
        <v>248</v>
      </c>
      <c r="C40" s="20" t="s">
        <v>757</v>
      </c>
      <c r="D40" s="20" t="n">
        <v>20</v>
      </c>
      <c r="E40" s="20" t="n">
        <v>36</v>
      </c>
      <c r="F40" s="36" t="n">
        <v>46408</v>
      </c>
      <c r="G40" s="36" t="n">
        <v>46436</v>
      </c>
      <c r="H40" s="36" t="n">
        <v>46450</v>
      </c>
      <c r="I40" s="20" t="n">
        <v>0</v>
      </c>
      <c r="J40" s="20" t="n">
        <v>0</v>
      </c>
      <c r="K40" s="21" t="str">
        <f aca="false">IF(I40=0,"Yes","No")</f>
        <v>Yes</v>
      </c>
      <c r="L40" s="23" t="n">
        <f aca="false">SUMIF(Assignments!$A:$A,A40,Assignments!$G:$G)</f>
        <v>47600</v>
      </c>
      <c r="M40" s="23" t="n">
        <v>0</v>
      </c>
      <c r="N40" s="23" t="n">
        <f aca="false">L40+M40</f>
        <v>47600</v>
      </c>
      <c r="O40" s="29" t="n">
        <f aca="false">IF(N40=0,0,Q40/N40)</f>
        <v>0</v>
      </c>
      <c r="P40" s="29" t="n">
        <v>0</v>
      </c>
      <c r="Q40" s="23" t="n">
        <v>0</v>
      </c>
      <c r="R40" s="23" t="n">
        <f aca="false">N40*P40</f>
        <v>0</v>
      </c>
      <c r="S40" s="23" t="n">
        <v>0</v>
      </c>
      <c r="T40" s="20" t="s">
        <v>129</v>
      </c>
    </row>
    <row r="41" customFormat="false" ht="15" hidden="false" customHeight="false" outlineLevel="0" collapsed="false">
      <c r="A41" s="20" t="s">
        <v>760</v>
      </c>
      <c r="B41" s="20" t="s">
        <v>248</v>
      </c>
      <c r="C41" s="20" t="s">
        <v>761</v>
      </c>
      <c r="D41" s="20" t="n">
        <v>10</v>
      </c>
      <c r="E41" s="20" t="n">
        <v>37</v>
      </c>
      <c r="F41" s="36" t="n">
        <v>46437</v>
      </c>
      <c r="G41" s="36" t="n">
        <v>46450</v>
      </c>
      <c r="H41" s="36" t="n">
        <v>46464</v>
      </c>
      <c r="I41" s="20" t="n">
        <v>0</v>
      </c>
      <c r="J41" s="20" t="n">
        <v>0</v>
      </c>
      <c r="K41" s="21" t="str">
        <f aca="false">IF(I41=0,"Yes","No")</f>
        <v>Yes</v>
      </c>
      <c r="L41" s="23" t="n">
        <f aca="false">SUMIF(Assignments!$A:$A,A41,Assignments!$G:$G)</f>
        <v>10000</v>
      </c>
      <c r="M41" s="23" t="n">
        <v>0</v>
      </c>
      <c r="N41" s="23" t="n">
        <f aca="false">L41+M41</f>
        <v>10000</v>
      </c>
      <c r="O41" s="29" t="n">
        <f aca="false">IF(N41=0,0,Q41/N41)</f>
        <v>0</v>
      </c>
      <c r="P41" s="29" t="n">
        <v>0</v>
      </c>
      <c r="Q41" s="23" t="n">
        <v>0</v>
      </c>
      <c r="R41" s="23" t="n">
        <f aca="false">N41*P41</f>
        <v>0</v>
      </c>
      <c r="S41" s="23" t="n">
        <v>0</v>
      </c>
      <c r="T41" s="20" t="s">
        <v>129</v>
      </c>
    </row>
    <row r="42" customFormat="false" ht="15" hidden="false" customHeight="false" outlineLevel="0" collapsed="false">
      <c r="A42" s="20"/>
      <c r="B42" s="20"/>
      <c r="C42" s="32" t="s">
        <v>850</v>
      </c>
      <c r="D42" s="20"/>
      <c r="E42" s="20"/>
      <c r="F42" s="20"/>
      <c r="G42" s="20"/>
      <c r="H42" s="20"/>
      <c r="I42" s="20"/>
      <c r="J42" s="20"/>
      <c r="K42" s="20"/>
      <c r="L42" s="34" t="n">
        <f aca="false">SUM(L5:L41)</f>
        <v>651180</v>
      </c>
      <c r="M42" s="34" t="n">
        <f aca="false">SUM(M5:M41)</f>
        <v>249000</v>
      </c>
      <c r="N42" s="34" t="n">
        <f aca="false">SUM(N5:N41)</f>
        <v>900180</v>
      </c>
      <c r="O42" s="20"/>
      <c r="P42" s="20"/>
      <c r="Q42" s="34" t="n">
        <f aca="false">SUM(Q5:Q41)</f>
        <v>242800</v>
      </c>
      <c r="R42" s="34" t="n">
        <f aca="false">SUM(R5:R41)</f>
        <v>221830</v>
      </c>
      <c r="S42" s="34" t="n">
        <f aca="false">SUM(S5:S41)</f>
        <v>231730</v>
      </c>
      <c r="T42" s="20"/>
    </row>
    <row r="44" customFormat="false" ht="15" hidden="false" customHeight="false" outlineLevel="0" collapsed="false">
      <c r="C44" s="35" t="s">
        <v>851</v>
      </c>
    </row>
  </sheetData>
  <conditionalFormatting sqref="K5:K41">
    <cfRule type="cellIs" priority="2" operator="equal" aboveAverage="0" equalAverage="0" bottom="0" percent="0" rank="0" text="" dxfId="0">
      <formula>"Yes"</formula>
    </cfRule>
  </conditionalFormatting>
  <conditionalFormatting sqref="P5:P41">
    <cfRule type="cellIs" priority="3" operator="equal" aboveAverage="0" equalAverage="0" bottom="0" percent="0" rank="0" text="" dxfId="0">
      <formula>1</formula>
    </cfRule>
  </conditionalFormatting>
  <conditionalFormatting sqref="A5:T41">
    <cfRule type="expression" priority="4" aboveAverage="0" equalAverage="0" bottom="0" percent="0" rank="0" text="" dxfId="0">
      <formula>AND($P5&lt;$O5,$P5&lt;1)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4"/>
  </cols>
  <sheetData>
    <row r="1" customFormat="false" ht="18.55" hidden="false" customHeight="false" outlineLevel="0" collapsed="false">
      <c r="A1" s="19" t="s">
        <v>852</v>
      </c>
    </row>
    <row r="2" customFormat="false" ht="15" hidden="false" customHeight="false" outlineLevel="0" collapsed="false">
      <c r="A2" s="7" t="s">
        <v>222</v>
      </c>
    </row>
    <row r="4" customFormat="false" ht="31.5" hidden="false" customHeight="true" outlineLevel="0" collapsed="false">
      <c r="A4" s="3" t="s">
        <v>223</v>
      </c>
      <c r="B4" s="3" t="s">
        <v>312</v>
      </c>
      <c r="C4" s="3" t="s">
        <v>853</v>
      </c>
      <c r="D4" s="3" t="s">
        <v>854</v>
      </c>
      <c r="E4" s="3" t="s">
        <v>855</v>
      </c>
      <c r="F4" s="3" t="s">
        <v>856</v>
      </c>
      <c r="G4" s="3" t="s">
        <v>226</v>
      </c>
    </row>
    <row r="5" customFormat="false" ht="15" hidden="false" customHeight="false" outlineLevel="0" collapsed="false">
      <c r="A5" s="20" t="s">
        <v>499</v>
      </c>
      <c r="B5" s="20" t="s">
        <v>129</v>
      </c>
      <c r="C5" s="22" t="n">
        <v>1</v>
      </c>
      <c r="D5" s="20" t="n">
        <f aca="false">VLOOKUP(A5,Schedule_WBS!$A:$D,4,FALSE())</f>
        <v>10</v>
      </c>
      <c r="E5" s="20" t="n">
        <f aca="false">C5*D5*8</f>
        <v>80</v>
      </c>
      <c r="F5" s="23" t="n">
        <f aca="false">VLOOKUP(B5,Resources!$A:$C,3,FALSE())</f>
        <v>120</v>
      </c>
      <c r="G5" s="23" t="n">
        <f aca="false">E5*F5</f>
        <v>9600</v>
      </c>
    </row>
    <row r="6" customFormat="false" ht="15" hidden="false" customHeight="false" outlineLevel="0" collapsed="false">
      <c r="A6" s="20" t="s">
        <v>499</v>
      </c>
      <c r="B6" s="20" t="s">
        <v>494</v>
      </c>
      <c r="C6" s="22" t="n">
        <v>0.5</v>
      </c>
      <c r="D6" s="20" t="n">
        <f aca="false">VLOOKUP(A6,Schedule_WBS!$A:$D,4,FALSE())</f>
        <v>10</v>
      </c>
      <c r="E6" s="20" t="n">
        <f aca="false">C6*D6*8</f>
        <v>40</v>
      </c>
      <c r="F6" s="23" t="n">
        <f aca="false">VLOOKUP(B6,Resources!$A:$C,3,FALSE())</f>
        <v>95</v>
      </c>
      <c r="G6" s="23" t="n">
        <f aca="false">E6*F6</f>
        <v>3800</v>
      </c>
    </row>
    <row r="7" customFormat="false" ht="15" hidden="false" customHeight="false" outlineLevel="0" collapsed="false">
      <c r="A7" s="20" t="s">
        <v>683</v>
      </c>
      <c r="B7" s="20" t="s">
        <v>129</v>
      </c>
      <c r="C7" s="22" t="n">
        <v>1</v>
      </c>
      <c r="D7" s="20" t="n">
        <f aca="false">VLOOKUP(A7,Schedule_WBS!$A:$D,4,FALSE())</f>
        <v>8</v>
      </c>
      <c r="E7" s="20" t="n">
        <f aca="false">C7*D7*8</f>
        <v>64</v>
      </c>
      <c r="F7" s="23" t="n">
        <f aca="false">VLOOKUP(B7,Resources!$A:$C,3,FALSE())</f>
        <v>120</v>
      </c>
      <c r="G7" s="23" t="n">
        <f aca="false">E7*F7</f>
        <v>7680</v>
      </c>
    </row>
    <row r="8" customFormat="false" ht="15" hidden="false" customHeight="false" outlineLevel="0" collapsed="false">
      <c r="A8" s="20" t="s">
        <v>683</v>
      </c>
      <c r="B8" s="20" t="s">
        <v>494</v>
      </c>
      <c r="C8" s="22" t="n">
        <v>0.5</v>
      </c>
      <c r="D8" s="20" t="n">
        <f aca="false">VLOOKUP(A8,Schedule_WBS!$A:$D,4,FALSE())</f>
        <v>8</v>
      </c>
      <c r="E8" s="20" t="n">
        <f aca="false">C8*D8*8</f>
        <v>32</v>
      </c>
      <c r="F8" s="23" t="n">
        <f aca="false">VLOOKUP(B8,Resources!$A:$C,3,FALSE())</f>
        <v>95</v>
      </c>
      <c r="G8" s="23" t="n">
        <f aca="false">E8*F8</f>
        <v>3040</v>
      </c>
    </row>
    <row r="9" customFormat="false" ht="15" hidden="false" customHeight="false" outlineLevel="0" collapsed="false">
      <c r="A9" s="20" t="s">
        <v>683</v>
      </c>
      <c r="B9" s="20" t="s">
        <v>113</v>
      </c>
      <c r="C9" s="22" t="n">
        <v>0.25</v>
      </c>
      <c r="D9" s="20" t="n">
        <f aca="false">VLOOKUP(A9,Schedule_WBS!$A:$D,4,FALSE())</f>
        <v>8</v>
      </c>
      <c r="E9" s="20" t="n">
        <f aca="false">C9*D9*8</f>
        <v>16</v>
      </c>
      <c r="F9" s="23" t="n">
        <f aca="false">VLOOKUP(B9,Resources!$A:$C,3,FALSE())</f>
        <v>140</v>
      </c>
      <c r="G9" s="23" t="n">
        <f aca="false">E9*F9</f>
        <v>2240</v>
      </c>
    </row>
    <row r="10" customFormat="false" ht="15" hidden="false" customHeight="false" outlineLevel="0" collapsed="false">
      <c r="A10" s="20" t="s">
        <v>686</v>
      </c>
      <c r="B10" s="20" t="s">
        <v>129</v>
      </c>
      <c r="C10" s="22" t="n">
        <v>0.5</v>
      </c>
      <c r="D10" s="20" t="n">
        <f aca="false">VLOOKUP(A10,Schedule_WBS!$A:$D,4,FALSE())</f>
        <v>138</v>
      </c>
      <c r="E10" s="20" t="n">
        <f aca="false">C10*D10*8</f>
        <v>552</v>
      </c>
      <c r="F10" s="23" t="n">
        <f aca="false">VLOOKUP(B10,Resources!$A:$C,3,FALSE())</f>
        <v>120</v>
      </c>
      <c r="G10" s="23" t="n">
        <f aca="false">E10*F10</f>
        <v>66240</v>
      </c>
    </row>
    <row r="11" customFormat="false" ht="15" hidden="false" customHeight="false" outlineLevel="0" collapsed="false">
      <c r="A11" s="20" t="s">
        <v>686</v>
      </c>
      <c r="B11" s="20" t="s">
        <v>494</v>
      </c>
      <c r="C11" s="22" t="n">
        <v>0.25</v>
      </c>
      <c r="D11" s="20" t="n">
        <f aca="false">VLOOKUP(A11,Schedule_WBS!$A:$D,4,FALSE())</f>
        <v>138</v>
      </c>
      <c r="E11" s="20" t="n">
        <f aca="false">C11*D11*8</f>
        <v>276</v>
      </c>
      <c r="F11" s="23" t="n">
        <f aca="false">VLOOKUP(B11,Resources!$A:$C,3,FALSE())</f>
        <v>95</v>
      </c>
      <c r="G11" s="23" t="n">
        <f aca="false">E11*F11</f>
        <v>26220</v>
      </c>
    </row>
    <row r="12" customFormat="false" ht="15" hidden="false" customHeight="false" outlineLevel="0" collapsed="false">
      <c r="A12" s="20" t="s">
        <v>689</v>
      </c>
      <c r="B12" s="20" t="s">
        <v>129</v>
      </c>
      <c r="C12" s="22" t="n">
        <v>1</v>
      </c>
      <c r="D12" s="20" t="n">
        <f aca="false">VLOOKUP(A12,Schedule_WBS!$A:$D,4,FALSE())</f>
        <v>5</v>
      </c>
      <c r="E12" s="20" t="n">
        <f aca="false">C12*D12*8</f>
        <v>40</v>
      </c>
      <c r="F12" s="23" t="n">
        <f aca="false">VLOOKUP(B12,Resources!$A:$C,3,FALSE())</f>
        <v>120</v>
      </c>
      <c r="G12" s="23" t="n">
        <f aca="false">E12*F12</f>
        <v>4800</v>
      </c>
    </row>
    <row r="13" customFormat="false" ht="15" hidden="false" customHeight="false" outlineLevel="0" collapsed="false">
      <c r="A13" s="20" t="s">
        <v>689</v>
      </c>
      <c r="B13" s="20" t="s">
        <v>494</v>
      </c>
      <c r="C13" s="22" t="n">
        <v>0.5</v>
      </c>
      <c r="D13" s="20" t="n">
        <f aca="false">VLOOKUP(A13,Schedule_WBS!$A:$D,4,FALSE())</f>
        <v>5</v>
      </c>
      <c r="E13" s="20" t="n">
        <f aca="false">C13*D13*8</f>
        <v>20</v>
      </c>
      <c r="F13" s="23" t="n">
        <f aca="false">VLOOKUP(B13,Resources!$A:$C,3,FALSE())</f>
        <v>95</v>
      </c>
      <c r="G13" s="23" t="n">
        <f aca="false">E13*F13</f>
        <v>1900</v>
      </c>
    </row>
    <row r="14" customFormat="false" ht="15" hidden="false" customHeight="false" outlineLevel="0" collapsed="false">
      <c r="A14" s="20" t="s">
        <v>692</v>
      </c>
      <c r="B14" s="20" t="s">
        <v>494</v>
      </c>
      <c r="C14" s="22" t="n">
        <v>1</v>
      </c>
      <c r="D14" s="20" t="n">
        <f aca="false">VLOOKUP(A14,Schedule_WBS!$A:$D,4,FALSE())</f>
        <v>10</v>
      </c>
      <c r="E14" s="20" t="n">
        <f aca="false">C14*D14*8</f>
        <v>80</v>
      </c>
      <c r="F14" s="23" t="n">
        <f aca="false">VLOOKUP(B14,Resources!$A:$C,3,FALSE())</f>
        <v>95</v>
      </c>
      <c r="G14" s="23" t="n">
        <f aca="false">E14*F14</f>
        <v>7600</v>
      </c>
    </row>
    <row r="15" customFormat="false" ht="15" hidden="false" customHeight="false" outlineLevel="0" collapsed="false">
      <c r="A15" s="20" t="s">
        <v>692</v>
      </c>
      <c r="B15" s="20" t="s">
        <v>104</v>
      </c>
      <c r="C15" s="22" t="n">
        <v>0.5</v>
      </c>
      <c r="D15" s="20" t="n">
        <f aca="false">VLOOKUP(A15,Schedule_WBS!$A:$D,4,FALSE())</f>
        <v>10</v>
      </c>
      <c r="E15" s="20" t="n">
        <f aca="false">C15*D15*8</f>
        <v>40</v>
      </c>
      <c r="F15" s="23" t="n">
        <f aca="false">VLOOKUP(B15,Resources!$A:$C,3,FALSE())</f>
        <v>110</v>
      </c>
      <c r="G15" s="23" t="n">
        <f aca="false">E15*F15</f>
        <v>4400</v>
      </c>
    </row>
    <row r="16" customFormat="false" ht="15" hidden="false" customHeight="false" outlineLevel="0" collapsed="false">
      <c r="A16" s="20" t="s">
        <v>692</v>
      </c>
      <c r="B16" s="20" t="s">
        <v>113</v>
      </c>
      <c r="C16" s="22" t="n">
        <v>0.25</v>
      </c>
      <c r="D16" s="20" t="n">
        <f aca="false">VLOOKUP(A16,Schedule_WBS!$A:$D,4,FALSE())</f>
        <v>10</v>
      </c>
      <c r="E16" s="20" t="n">
        <f aca="false">C16*D16*8</f>
        <v>20</v>
      </c>
      <c r="F16" s="23" t="n">
        <f aca="false">VLOOKUP(B16,Resources!$A:$C,3,FALSE())</f>
        <v>140</v>
      </c>
      <c r="G16" s="23" t="n">
        <f aca="false">E16*F16</f>
        <v>2800</v>
      </c>
    </row>
    <row r="17" customFormat="false" ht="15" hidden="false" customHeight="false" outlineLevel="0" collapsed="false">
      <c r="A17" s="20" t="s">
        <v>695</v>
      </c>
      <c r="B17" s="20" t="s">
        <v>494</v>
      </c>
      <c r="C17" s="22" t="n">
        <v>1</v>
      </c>
      <c r="D17" s="20" t="n">
        <f aca="false">VLOOKUP(A17,Schedule_WBS!$A:$D,4,FALSE())</f>
        <v>10</v>
      </c>
      <c r="E17" s="20" t="n">
        <f aca="false">C17*D17*8</f>
        <v>80</v>
      </c>
      <c r="F17" s="23" t="n">
        <f aca="false">VLOOKUP(B17,Resources!$A:$C,3,FALSE())</f>
        <v>95</v>
      </c>
      <c r="G17" s="23" t="n">
        <f aca="false">E17*F17</f>
        <v>7600</v>
      </c>
    </row>
    <row r="18" customFormat="false" ht="15" hidden="false" customHeight="false" outlineLevel="0" collapsed="false">
      <c r="A18" s="20" t="s">
        <v>695</v>
      </c>
      <c r="B18" s="20" t="s">
        <v>158</v>
      </c>
      <c r="C18" s="22" t="n">
        <v>0.5</v>
      </c>
      <c r="D18" s="20" t="n">
        <f aca="false">VLOOKUP(A18,Schedule_WBS!$A:$D,4,FALSE())</f>
        <v>10</v>
      </c>
      <c r="E18" s="20" t="n">
        <f aca="false">C18*D18*8</f>
        <v>40</v>
      </c>
      <c r="F18" s="23" t="n">
        <f aca="false">VLOOKUP(B18,Resources!$A:$C,3,FALSE())</f>
        <v>95</v>
      </c>
      <c r="G18" s="23" t="n">
        <f aca="false">E18*F18</f>
        <v>3800</v>
      </c>
    </row>
    <row r="19" customFormat="false" ht="15" hidden="false" customHeight="false" outlineLevel="0" collapsed="false">
      <c r="A19" s="20" t="s">
        <v>695</v>
      </c>
      <c r="B19" s="20" t="s">
        <v>129</v>
      </c>
      <c r="C19" s="22" t="n">
        <v>0.25</v>
      </c>
      <c r="D19" s="20" t="n">
        <f aca="false">VLOOKUP(A19,Schedule_WBS!$A:$D,4,FALSE())</f>
        <v>10</v>
      </c>
      <c r="E19" s="20" t="n">
        <f aca="false">C19*D19*8</f>
        <v>20</v>
      </c>
      <c r="F19" s="23" t="n">
        <f aca="false">VLOOKUP(B19,Resources!$A:$C,3,FALSE())</f>
        <v>120</v>
      </c>
      <c r="G19" s="23" t="n">
        <f aca="false">E19*F19</f>
        <v>2400</v>
      </c>
    </row>
    <row r="20" customFormat="false" ht="15" hidden="false" customHeight="false" outlineLevel="0" collapsed="false">
      <c r="A20" s="20" t="s">
        <v>695</v>
      </c>
      <c r="B20" s="20" t="s">
        <v>166</v>
      </c>
      <c r="C20" s="22" t="n">
        <v>0.25</v>
      </c>
      <c r="D20" s="20" t="n">
        <f aca="false">VLOOKUP(A20,Schedule_WBS!$A:$D,4,FALSE())</f>
        <v>10</v>
      </c>
      <c r="E20" s="20" t="n">
        <f aca="false">C20*D20*8</f>
        <v>20</v>
      </c>
      <c r="F20" s="23" t="n">
        <f aca="false">VLOOKUP(B20,Resources!$A:$C,3,FALSE())</f>
        <v>90</v>
      </c>
      <c r="G20" s="23" t="n">
        <f aca="false">E20*F20</f>
        <v>1800</v>
      </c>
    </row>
    <row r="21" customFormat="false" ht="15" hidden="false" customHeight="false" outlineLevel="0" collapsed="false">
      <c r="A21" s="20" t="s">
        <v>508</v>
      </c>
      <c r="B21" s="20" t="s">
        <v>113</v>
      </c>
      <c r="C21" s="22" t="n">
        <v>1</v>
      </c>
      <c r="D21" s="20" t="n">
        <f aca="false">VLOOKUP(A21,Schedule_WBS!$A:$D,4,FALSE())</f>
        <v>10</v>
      </c>
      <c r="E21" s="20" t="n">
        <f aca="false">C21*D21*8</f>
        <v>80</v>
      </c>
      <c r="F21" s="23" t="n">
        <f aca="false">VLOOKUP(B21,Resources!$A:$C,3,FALSE())</f>
        <v>140</v>
      </c>
      <c r="G21" s="23" t="n">
        <f aca="false">E21*F21</f>
        <v>11200</v>
      </c>
    </row>
    <row r="22" customFormat="false" ht="15" hidden="false" customHeight="false" outlineLevel="0" collapsed="false">
      <c r="A22" s="20" t="s">
        <v>508</v>
      </c>
      <c r="B22" s="20" t="s">
        <v>857</v>
      </c>
      <c r="C22" s="22" t="n">
        <v>0.25</v>
      </c>
      <c r="D22" s="20" t="n">
        <f aca="false">VLOOKUP(A22,Schedule_WBS!$A:$D,4,FALSE())</f>
        <v>10</v>
      </c>
      <c r="E22" s="20" t="n">
        <f aca="false">C22*D22*8</f>
        <v>20</v>
      </c>
      <c r="F22" s="23" t="n">
        <f aca="false">VLOOKUP(B22,Resources!$A:$C,3,FALSE())</f>
        <v>160</v>
      </c>
      <c r="G22" s="23" t="n">
        <f aca="false">E22*F22</f>
        <v>3200</v>
      </c>
    </row>
    <row r="23" customFormat="false" ht="15" hidden="false" customHeight="false" outlineLevel="0" collapsed="false">
      <c r="A23" s="20" t="s">
        <v>508</v>
      </c>
      <c r="B23" s="20" t="s">
        <v>858</v>
      </c>
      <c r="C23" s="22" t="n">
        <v>0.5</v>
      </c>
      <c r="D23" s="20" t="n">
        <f aca="false">VLOOKUP(A23,Schedule_WBS!$A:$D,4,FALSE())</f>
        <v>10</v>
      </c>
      <c r="E23" s="20" t="n">
        <f aca="false">C23*D23*8</f>
        <v>40</v>
      </c>
      <c r="F23" s="23" t="n">
        <f aca="false">VLOOKUP(B23,Resources!$A:$C,3,FALSE())</f>
        <v>105</v>
      </c>
      <c r="G23" s="23" t="n">
        <f aca="false">E23*F23</f>
        <v>4200</v>
      </c>
    </row>
    <row r="24" customFormat="false" ht="15" hidden="false" customHeight="false" outlineLevel="0" collapsed="false">
      <c r="A24" s="20" t="s">
        <v>510</v>
      </c>
      <c r="B24" s="20" t="s">
        <v>494</v>
      </c>
      <c r="C24" s="22" t="n">
        <v>0.5</v>
      </c>
      <c r="D24" s="20" t="n">
        <f aca="false">VLOOKUP(A24,Schedule_WBS!$A:$D,4,FALSE())</f>
        <v>10</v>
      </c>
      <c r="E24" s="20" t="n">
        <f aca="false">C24*D24*8</f>
        <v>40</v>
      </c>
      <c r="F24" s="23" t="n">
        <f aca="false">VLOOKUP(B24,Resources!$A:$C,3,FALSE())</f>
        <v>95</v>
      </c>
      <c r="G24" s="23" t="n">
        <f aca="false">E24*F24</f>
        <v>3800</v>
      </c>
    </row>
    <row r="25" customFormat="false" ht="15" hidden="false" customHeight="false" outlineLevel="0" collapsed="false">
      <c r="A25" s="20" t="s">
        <v>510</v>
      </c>
      <c r="B25" s="20" t="s">
        <v>857</v>
      </c>
      <c r="C25" s="22" t="n">
        <v>0.5</v>
      </c>
      <c r="D25" s="20" t="n">
        <f aca="false">VLOOKUP(A25,Schedule_WBS!$A:$D,4,FALSE())</f>
        <v>10</v>
      </c>
      <c r="E25" s="20" t="n">
        <f aca="false">C25*D25*8</f>
        <v>40</v>
      </c>
      <c r="F25" s="23" t="n">
        <f aca="false">VLOOKUP(B25,Resources!$A:$C,3,FALSE())</f>
        <v>160</v>
      </c>
      <c r="G25" s="23" t="n">
        <f aca="false">E25*F25</f>
        <v>6400</v>
      </c>
    </row>
    <row r="26" customFormat="false" ht="15" hidden="false" customHeight="false" outlineLevel="0" collapsed="false">
      <c r="A26" s="20" t="s">
        <v>701</v>
      </c>
      <c r="B26" s="20" t="s">
        <v>158</v>
      </c>
      <c r="C26" s="22" t="n">
        <v>1</v>
      </c>
      <c r="D26" s="20" t="n">
        <f aca="false">VLOOKUP(A26,Schedule_WBS!$A:$D,4,FALSE())</f>
        <v>15</v>
      </c>
      <c r="E26" s="20" t="n">
        <f aca="false">C26*D26*8</f>
        <v>120</v>
      </c>
      <c r="F26" s="23" t="n">
        <f aca="false">VLOOKUP(B26,Resources!$A:$C,3,FALSE())</f>
        <v>95</v>
      </c>
      <c r="G26" s="23" t="n">
        <f aca="false">E26*F26</f>
        <v>11400</v>
      </c>
    </row>
    <row r="27" customFormat="false" ht="15" hidden="false" customHeight="false" outlineLevel="0" collapsed="false">
      <c r="A27" s="20" t="s">
        <v>701</v>
      </c>
      <c r="B27" s="20" t="s">
        <v>858</v>
      </c>
      <c r="C27" s="22" t="n">
        <v>0.5</v>
      </c>
      <c r="D27" s="20" t="n">
        <f aca="false">VLOOKUP(A27,Schedule_WBS!$A:$D,4,FALSE())</f>
        <v>15</v>
      </c>
      <c r="E27" s="20" t="n">
        <f aca="false">C27*D27*8</f>
        <v>60</v>
      </c>
      <c r="F27" s="23" t="n">
        <f aca="false">VLOOKUP(B27,Resources!$A:$C,3,FALSE())</f>
        <v>105</v>
      </c>
      <c r="G27" s="23" t="n">
        <f aca="false">E27*F27</f>
        <v>6300</v>
      </c>
    </row>
    <row r="28" customFormat="false" ht="15" hidden="false" customHeight="false" outlineLevel="0" collapsed="false">
      <c r="A28" s="20" t="s">
        <v>662</v>
      </c>
      <c r="B28" s="20" t="s">
        <v>858</v>
      </c>
      <c r="C28" s="22" t="n">
        <v>2</v>
      </c>
      <c r="D28" s="20" t="n">
        <f aca="false">VLOOKUP(A28,Schedule_WBS!$A:$D,4,FALSE())</f>
        <v>10</v>
      </c>
      <c r="E28" s="20" t="n">
        <f aca="false">C28*D28*8</f>
        <v>160</v>
      </c>
      <c r="F28" s="23" t="n">
        <f aca="false">VLOOKUP(B28,Resources!$A:$C,3,FALSE())</f>
        <v>105</v>
      </c>
      <c r="G28" s="23" t="n">
        <f aca="false">E28*F28</f>
        <v>16800</v>
      </c>
    </row>
    <row r="29" customFormat="false" ht="15" hidden="false" customHeight="false" outlineLevel="0" collapsed="false">
      <c r="A29" s="20" t="s">
        <v>662</v>
      </c>
      <c r="B29" s="20" t="s">
        <v>859</v>
      </c>
      <c r="C29" s="22" t="n">
        <v>1</v>
      </c>
      <c r="D29" s="20" t="n">
        <f aca="false">VLOOKUP(A29,Schedule_WBS!$A:$D,4,FALSE())</f>
        <v>10</v>
      </c>
      <c r="E29" s="20" t="n">
        <f aca="false">C29*D29*8</f>
        <v>80</v>
      </c>
      <c r="F29" s="23" t="n">
        <f aca="false">VLOOKUP(B29,Resources!$A:$C,3,FALSE())</f>
        <v>85</v>
      </c>
      <c r="G29" s="23" t="n">
        <f aca="false">E29*F29</f>
        <v>6800</v>
      </c>
    </row>
    <row r="30" customFormat="false" ht="15" hidden="false" customHeight="false" outlineLevel="0" collapsed="false">
      <c r="A30" s="20" t="s">
        <v>662</v>
      </c>
      <c r="B30" s="20" t="s">
        <v>158</v>
      </c>
      <c r="C30" s="22" t="n">
        <v>0.5</v>
      </c>
      <c r="D30" s="20" t="n">
        <f aca="false">VLOOKUP(A30,Schedule_WBS!$A:$D,4,FALSE())</f>
        <v>10</v>
      </c>
      <c r="E30" s="20" t="n">
        <f aca="false">C30*D30*8</f>
        <v>40</v>
      </c>
      <c r="F30" s="23" t="n">
        <f aca="false">VLOOKUP(B30,Resources!$A:$C,3,FALSE())</f>
        <v>95</v>
      </c>
      <c r="G30" s="23" t="n">
        <f aca="false">E30*F30</f>
        <v>3800</v>
      </c>
    </row>
    <row r="31" customFormat="false" ht="15" hidden="false" customHeight="false" outlineLevel="0" collapsed="false">
      <c r="A31" s="20" t="s">
        <v>662</v>
      </c>
      <c r="B31" s="20" t="s">
        <v>494</v>
      </c>
      <c r="C31" s="22" t="n">
        <v>0.25</v>
      </c>
      <c r="D31" s="20" t="n">
        <f aca="false">VLOOKUP(A31,Schedule_WBS!$A:$D,4,FALSE())</f>
        <v>10</v>
      </c>
      <c r="E31" s="20" t="n">
        <f aca="false">C31*D31*8</f>
        <v>20</v>
      </c>
      <c r="F31" s="23" t="n">
        <f aca="false">VLOOKUP(B31,Resources!$A:$C,3,FALSE())</f>
        <v>95</v>
      </c>
      <c r="G31" s="23" t="n">
        <f aca="false">E31*F31</f>
        <v>1900</v>
      </c>
    </row>
    <row r="32" customFormat="false" ht="15" hidden="false" customHeight="false" outlineLevel="0" collapsed="false">
      <c r="A32" s="20" t="s">
        <v>656</v>
      </c>
      <c r="B32" s="20" t="s">
        <v>858</v>
      </c>
      <c r="C32" s="22" t="n">
        <v>2</v>
      </c>
      <c r="D32" s="20" t="n">
        <f aca="false">VLOOKUP(A32,Schedule_WBS!$A:$D,4,FALSE())</f>
        <v>10</v>
      </c>
      <c r="E32" s="20" t="n">
        <f aca="false">C32*D32*8</f>
        <v>160</v>
      </c>
      <c r="F32" s="23" t="n">
        <f aca="false">VLOOKUP(B32,Resources!$A:$C,3,FALSE())</f>
        <v>105</v>
      </c>
      <c r="G32" s="23" t="n">
        <f aca="false">E32*F32</f>
        <v>16800</v>
      </c>
    </row>
    <row r="33" customFormat="false" ht="15" hidden="false" customHeight="false" outlineLevel="0" collapsed="false">
      <c r="A33" s="20" t="s">
        <v>656</v>
      </c>
      <c r="B33" s="20" t="s">
        <v>859</v>
      </c>
      <c r="C33" s="22" t="n">
        <v>1</v>
      </c>
      <c r="D33" s="20" t="n">
        <f aca="false">VLOOKUP(A33,Schedule_WBS!$A:$D,4,FALSE())</f>
        <v>10</v>
      </c>
      <c r="E33" s="20" t="n">
        <f aca="false">C33*D33*8</f>
        <v>80</v>
      </c>
      <c r="F33" s="23" t="n">
        <f aca="false">VLOOKUP(B33,Resources!$A:$C,3,FALSE())</f>
        <v>85</v>
      </c>
      <c r="G33" s="23" t="n">
        <f aca="false">E33*F33</f>
        <v>6800</v>
      </c>
    </row>
    <row r="34" customFormat="false" ht="15" hidden="false" customHeight="false" outlineLevel="0" collapsed="false">
      <c r="A34" s="20" t="s">
        <v>656</v>
      </c>
      <c r="B34" s="20" t="s">
        <v>158</v>
      </c>
      <c r="C34" s="22" t="n">
        <v>0.5</v>
      </c>
      <c r="D34" s="20" t="n">
        <f aca="false">VLOOKUP(A34,Schedule_WBS!$A:$D,4,FALSE())</f>
        <v>10</v>
      </c>
      <c r="E34" s="20" t="n">
        <f aca="false">C34*D34*8</f>
        <v>40</v>
      </c>
      <c r="F34" s="23" t="n">
        <f aca="false">VLOOKUP(B34,Resources!$A:$C,3,FALSE())</f>
        <v>95</v>
      </c>
      <c r="G34" s="23" t="n">
        <f aca="false">E34*F34</f>
        <v>3800</v>
      </c>
    </row>
    <row r="35" customFormat="false" ht="15" hidden="false" customHeight="false" outlineLevel="0" collapsed="false">
      <c r="A35" s="20" t="s">
        <v>656</v>
      </c>
      <c r="B35" s="20" t="s">
        <v>494</v>
      </c>
      <c r="C35" s="22" t="n">
        <v>0.25</v>
      </c>
      <c r="D35" s="20" t="n">
        <f aca="false">VLOOKUP(A35,Schedule_WBS!$A:$D,4,FALSE())</f>
        <v>10</v>
      </c>
      <c r="E35" s="20" t="n">
        <f aca="false">C35*D35*8</f>
        <v>20</v>
      </c>
      <c r="F35" s="23" t="n">
        <f aca="false">VLOOKUP(B35,Resources!$A:$C,3,FALSE())</f>
        <v>95</v>
      </c>
      <c r="G35" s="23" t="n">
        <f aca="false">E35*F35</f>
        <v>1900</v>
      </c>
    </row>
    <row r="36" customFormat="false" ht="15" hidden="false" customHeight="false" outlineLevel="0" collapsed="false">
      <c r="A36" s="20" t="s">
        <v>710</v>
      </c>
      <c r="B36" s="20" t="s">
        <v>858</v>
      </c>
      <c r="C36" s="22" t="n">
        <v>2</v>
      </c>
      <c r="D36" s="20" t="n">
        <f aca="false">VLOOKUP(A36,Schedule_WBS!$A:$D,4,FALSE())</f>
        <v>10</v>
      </c>
      <c r="E36" s="20" t="n">
        <f aca="false">C36*D36*8</f>
        <v>160</v>
      </c>
      <c r="F36" s="23" t="n">
        <f aca="false">VLOOKUP(B36,Resources!$A:$C,3,FALSE())</f>
        <v>105</v>
      </c>
      <c r="G36" s="23" t="n">
        <f aca="false">E36*F36</f>
        <v>16800</v>
      </c>
    </row>
    <row r="37" customFormat="false" ht="15" hidden="false" customHeight="false" outlineLevel="0" collapsed="false">
      <c r="A37" s="20" t="s">
        <v>710</v>
      </c>
      <c r="B37" s="20" t="s">
        <v>859</v>
      </c>
      <c r="C37" s="22" t="n">
        <v>1</v>
      </c>
      <c r="D37" s="20" t="n">
        <f aca="false">VLOOKUP(A37,Schedule_WBS!$A:$D,4,FALSE())</f>
        <v>10</v>
      </c>
      <c r="E37" s="20" t="n">
        <f aca="false">C37*D37*8</f>
        <v>80</v>
      </c>
      <c r="F37" s="23" t="n">
        <f aca="false">VLOOKUP(B37,Resources!$A:$C,3,FALSE())</f>
        <v>85</v>
      </c>
      <c r="G37" s="23" t="n">
        <f aca="false">E37*F37</f>
        <v>6800</v>
      </c>
    </row>
    <row r="38" customFormat="false" ht="15" hidden="false" customHeight="false" outlineLevel="0" collapsed="false">
      <c r="A38" s="20" t="s">
        <v>710</v>
      </c>
      <c r="B38" s="20" t="s">
        <v>158</v>
      </c>
      <c r="C38" s="22" t="n">
        <v>0.5</v>
      </c>
      <c r="D38" s="20" t="n">
        <f aca="false">VLOOKUP(A38,Schedule_WBS!$A:$D,4,FALSE())</f>
        <v>10</v>
      </c>
      <c r="E38" s="20" t="n">
        <f aca="false">C38*D38*8</f>
        <v>40</v>
      </c>
      <c r="F38" s="23" t="n">
        <f aca="false">VLOOKUP(B38,Resources!$A:$C,3,FALSE())</f>
        <v>95</v>
      </c>
      <c r="G38" s="23" t="n">
        <f aca="false">E38*F38</f>
        <v>3800</v>
      </c>
    </row>
    <row r="39" customFormat="false" ht="15" hidden="false" customHeight="false" outlineLevel="0" collapsed="false">
      <c r="A39" s="20" t="s">
        <v>710</v>
      </c>
      <c r="B39" s="20" t="s">
        <v>494</v>
      </c>
      <c r="C39" s="22" t="n">
        <v>0.25</v>
      </c>
      <c r="D39" s="20" t="n">
        <f aca="false">VLOOKUP(A39,Schedule_WBS!$A:$D,4,FALSE())</f>
        <v>10</v>
      </c>
      <c r="E39" s="20" t="n">
        <f aca="false">C39*D39*8</f>
        <v>20</v>
      </c>
      <c r="F39" s="23" t="n">
        <f aca="false">VLOOKUP(B39,Resources!$A:$C,3,FALSE())</f>
        <v>95</v>
      </c>
      <c r="G39" s="23" t="n">
        <f aca="false">E39*F39</f>
        <v>1900</v>
      </c>
    </row>
    <row r="40" customFormat="false" ht="15" hidden="false" customHeight="false" outlineLevel="0" collapsed="false">
      <c r="A40" s="20" t="s">
        <v>713</v>
      </c>
      <c r="B40" s="20" t="s">
        <v>858</v>
      </c>
      <c r="C40" s="22" t="n">
        <v>2</v>
      </c>
      <c r="D40" s="20" t="n">
        <f aca="false">VLOOKUP(A40,Schedule_WBS!$A:$D,4,FALSE())</f>
        <v>10</v>
      </c>
      <c r="E40" s="20" t="n">
        <f aca="false">C40*D40*8</f>
        <v>160</v>
      </c>
      <c r="F40" s="23" t="n">
        <f aca="false">VLOOKUP(B40,Resources!$A:$C,3,FALSE())</f>
        <v>105</v>
      </c>
      <c r="G40" s="23" t="n">
        <f aca="false">E40*F40</f>
        <v>16800</v>
      </c>
    </row>
    <row r="41" customFormat="false" ht="15" hidden="false" customHeight="false" outlineLevel="0" collapsed="false">
      <c r="A41" s="20" t="s">
        <v>713</v>
      </c>
      <c r="B41" s="20" t="s">
        <v>859</v>
      </c>
      <c r="C41" s="22" t="n">
        <v>1</v>
      </c>
      <c r="D41" s="20" t="n">
        <f aca="false">VLOOKUP(A41,Schedule_WBS!$A:$D,4,FALSE())</f>
        <v>10</v>
      </c>
      <c r="E41" s="20" t="n">
        <f aca="false">C41*D41*8</f>
        <v>80</v>
      </c>
      <c r="F41" s="23" t="n">
        <f aca="false">VLOOKUP(B41,Resources!$A:$C,3,FALSE())</f>
        <v>85</v>
      </c>
      <c r="G41" s="23" t="n">
        <f aca="false">E41*F41</f>
        <v>6800</v>
      </c>
    </row>
    <row r="42" customFormat="false" ht="15" hidden="false" customHeight="false" outlineLevel="0" collapsed="false">
      <c r="A42" s="20" t="s">
        <v>713</v>
      </c>
      <c r="B42" s="20" t="s">
        <v>158</v>
      </c>
      <c r="C42" s="22" t="n">
        <v>0.5</v>
      </c>
      <c r="D42" s="20" t="n">
        <f aca="false">VLOOKUP(A42,Schedule_WBS!$A:$D,4,FALSE())</f>
        <v>10</v>
      </c>
      <c r="E42" s="20" t="n">
        <f aca="false">C42*D42*8</f>
        <v>40</v>
      </c>
      <c r="F42" s="23" t="n">
        <f aca="false">VLOOKUP(B42,Resources!$A:$C,3,FALSE())</f>
        <v>95</v>
      </c>
      <c r="G42" s="23" t="n">
        <f aca="false">E42*F42</f>
        <v>3800</v>
      </c>
    </row>
    <row r="43" customFormat="false" ht="15" hidden="false" customHeight="false" outlineLevel="0" collapsed="false">
      <c r="A43" s="20" t="s">
        <v>713</v>
      </c>
      <c r="B43" s="20" t="s">
        <v>494</v>
      </c>
      <c r="C43" s="22" t="n">
        <v>0.25</v>
      </c>
      <c r="D43" s="20" t="n">
        <f aca="false">VLOOKUP(A43,Schedule_WBS!$A:$D,4,FALSE())</f>
        <v>10</v>
      </c>
      <c r="E43" s="20" t="n">
        <f aca="false">C43*D43*8</f>
        <v>20</v>
      </c>
      <c r="F43" s="23" t="n">
        <f aca="false">VLOOKUP(B43,Resources!$A:$C,3,FALSE())</f>
        <v>95</v>
      </c>
      <c r="G43" s="23" t="n">
        <f aca="false">E43*F43</f>
        <v>1900</v>
      </c>
    </row>
    <row r="44" customFormat="false" ht="15" hidden="false" customHeight="false" outlineLevel="0" collapsed="false">
      <c r="A44" s="20" t="s">
        <v>651</v>
      </c>
      <c r="B44" s="20" t="s">
        <v>858</v>
      </c>
      <c r="C44" s="22" t="n">
        <v>1</v>
      </c>
      <c r="D44" s="20" t="n">
        <f aca="false">VLOOKUP(A44,Schedule_WBS!$A:$D,4,FALSE())</f>
        <v>20</v>
      </c>
      <c r="E44" s="20" t="n">
        <f aca="false">C44*D44*8</f>
        <v>160</v>
      </c>
      <c r="F44" s="23" t="n">
        <f aca="false">VLOOKUP(B44,Resources!$A:$C,3,FALSE())</f>
        <v>105</v>
      </c>
      <c r="G44" s="23" t="n">
        <f aca="false">E44*F44</f>
        <v>16800</v>
      </c>
    </row>
    <row r="45" customFormat="false" ht="15" hidden="false" customHeight="false" outlineLevel="0" collapsed="false">
      <c r="A45" s="20" t="s">
        <v>651</v>
      </c>
      <c r="B45" s="20" t="s">
        <v>113</v>
      </c>
      <c r="C45" s="22" t="n">
        <v>0.5</v>
      </c>
      <c r="D45" s="20" t="n">
        <f aca="false">VLOOKUP(A45,Schedule_WBS!$A:$D,4,FALSE())</f>
        <v>20</v>
      </c>
      <c r="E45" s="20" t="n">
        <f aca="false">C45*D45*8</f>
        <v>80</v>
      </c>
      <c r="F45" s="23" t="n">
        <f aca="false">VLOOKUP(B45,Resources!$A:$C,3,FALSE())</f>
        <v>140</v>
      </c>
      <c r="G45" s="23" t="n">
        <f aca="false">E45*F45</f>
        <v>11200</v>
      </c>
    </row>
    <row r="46" customFormat="false" ht="15" hidden="false" customHeight="false" outlineLevel="0" collapsed="false">
      <c r="A46" s="20" t="s">
        <v>718</v>
      </c>
      <c r="B46" s="20" t="s">
        <v>494</v>
      </c>
      <c r="C46" s="22" t="n">
        <v>0.5</v>
      </c>
      <c r="D46" s="20" t="n">
        <f aca="false">VLOOKUP(A46,Schedule_WBS!$A:$D,4,FALSE())</f>
        <v>10</v>
      </c>
      <c r="E46" s="20" t="n">
        <f aca="false">C46*D46*8</f>
        <v>40</v>
      </c>
      <c r="F46" s="23" t="n">
        <f aca="false">VLOOKUP(B46,Resources!$A:$C,3,FALSE())</f>
        <v>95</v>
      </c>
      <c r="G46" s="23" t="n">
        <f aca="false">E46*F46</f>
        <v>3800</v>
      </c>
    </row>
    <row r="47" customFormat="false" ht="15" hidden="false" customHeight="false" outlineLevel="0" collapsed="false">
      <c r="A47" s="20" t="s">
        <v>718</v>
      </c>
      <c r="B47" s="20" t="s">
        <v>166</v>
      </c>
      <c r="C47" s="22" t="n">
        <v>0.25</v>
      </c>
      <c r="D47" s="20" t="n">
        <f aca="false">VLOOKUP(A47,Schedule_WBS!$A:$D,4,FALSE())</f>
        <v>10</v>
      </c>
      <c r="E47" s="20" t="n">
        <f aca="false">C47*D47*8</f>
        <v>20</v>
      </c>
      <c r="F47" s="23" t="n">
        <f aca="false">VLOOKUP(B47,Resources!$A:$C,3,FALSE())</f>
        <v>90</v>
      </c>
      <c r="G47" s="23" t="n">
        <f aca="false">E47*F47</f>
        <v>1800</v>
      </c>
    </row>
    <row r="48" customFormat="false" ht="15" hidden="false" customHeight="false" outlineLevel="0" collapsed="false">
      <c r="A48" s="20" t="s">
        <v>721</v>
      </c>
      <c r="B48" s="20" t="s">
        <v>104</v>
      </c>
      <c r="C48" s="22" t="n">
        <v>1</v>
      </c>
      <c r="D48" s="20" t="n">
        <f aca="false">VLOOKUP(A48,Schedule_WBS!$A:$D,4,FALSE())</f>
        <v>10</v>
      </c>
      <c r="E48" s="20" t="n">
        <f aca="false">C48*D48*8</f>
        <v>80</v>
      </c>
      <c r="F48" s="23" t="n">
        <f aca="false">VLOOKUP(B48,Resources!$A:$C,3,FALSE())</f>
        <v>110</v>
      </c>
      <c r="G48" s="23" t="n">
        <f aca="false">E48*F48</f>
        <v>8800</v>
      </c>
    </row>
    <row r="49" customFormat="false" ht="15" hidden="false" customHeight="false" outlineLevel="0" collapsed="false">
      <c r="A49" s="20" t="s">
        <v>721</v>
      </c>
      <c r="B49" s="20" t="s">
        <v>494</v>
      </c>
      <c r="C49" s="22" t="n">
        <v>0.5</v>
      </c>
      <c r="D49" s="20" t="n">
        <f aca="false">VLOOKUP(A49,Schedule_WBS!$A:$D,4,FALSE())</f>
        <v>10</v>
      </c>
      <c r="E49" s="20" t="n">
        <f aca="false">C49*D49*8</f>
        <v>40</v>
      </c>
      <c r="F49" s="23" t="n">
        <f aca="false">VLOOKUP(B49,Resources!$A:$C,3,FALSE())</f>
        <v>95</v>
      </c>
      <c r="G49" s="23" t="n">
        <f aca="false">E49*F49</f>
        <v>3800</v>
      </c>
    </row>
    <row r="50" customFormat="false" ht="15" hidden="false" customHeight="false" outlineLevel="0" collapsed="false">
      <c r="A50" s="20" t="s">
        <v>645</v>
      </c>
      <c r="B50" s="20" t="s">
        <v>104</v>
      </c>
      <c r="C50" s="22" t="n">
        <v>1</v>
      </c>
      <c r="D50" s="20" t="n">
        <f aca="false">VLOOKUP(A50,Schedule_WBS!$A:$D,4,FALSE())</f>
        <v>15</v>
      </c>
      <c r="E50" s="20" t="n">
        <f aca="false">C50*D50*8</f>
        <v>120</v>
      </c>
      <c r="F50" s="23" t="n">
        <f aca="false">VLOOKUP(B50,Resources!$A:$C,3,FALSE())</f>
        <v>110</v>
      </c>
      <c r="G50" s="23" t="n">
        <f aca="false">E50*F50</f>
        <v>13200</v>
      </c>
    </row>
    <row r="51" customFormat="false" ht="15" hidden="false" customHeight="false" outlineLevel="0" collapsed="false">
      <c r="A51" s="20" t="s">
        <v>645</v>
      </c>
      <c r="B51" s="20" t="s">
        <v>859</v>
      </c>
      <c r="C51" s="22" t="n">
        <v>0.5</v>
      </c>
      <c r="D51" s="20" t="n">
        <f aca="false">VLOOKUP(A51,Schedule_WBS!$A:$D,4,FALSE())</f>
        <v>15</v>
      </c>
      <c r="E51" s="20" t="n">
        <f aca="false">C51*D51*8</f>
        <v>60</v>
      </c>
      <c r="F51" s="23" t="n">
        <f aca="false">VLOOKUP(B51,Resources!$A:$C,3,FALSE())</f>
        <v>85</v>
      </c>
      <c r="G51" s="23" t="n">
        <f aca="false">E51*F51</f>
        <v>5100</v>
      </c>
    </row>
    <row r="52" customFormat="false" ht="15" hidden="false" customHeight="false" outlineLevel="0" collapsed="false">
      <c r="A52" s="20" t="s">
        <v>534</v>
      </c>
      <c r="B52" s="20" t="s">
        <v>104</v>
      </c>
      <c r="C52" s="22" t="n">
        <v>1</v>
      </c>
      <c r="D52" s="20" t="n">
        <f aca="false">VLOOKUP(A52,Schedule_WBS!$A:$D,4,FALSE())</f>
        <v>20</v>
      </c>
      <c r="E52" s="20" t="n">
        <f aca="false">C52*D52*8</f>
        <v>160</v>
      </c>
      <c r="F52" s="23" t="n">
        <f aca="false">VLOOKUP(B52,Resources!$A:$C,3,FALSE())</f>
        <v>110</v>
      </c>
      <c r="G52" s="23" t="n">
        <f aca="false">E52*F52</f>
        <v>17600</v>
      </c>
    </row>
    <row r="53" customFormat="false" ht="15" hidden="false" customHeight="false" outlineLevel="0" collapsed="false">
      <c r="A53" s="20" t="s">
        <v>534</v>
      </c>
      <c r="B53" s="20" t="s">
        <v>859</v>
      </c>
      <c r="C53" s="22" t="n">
        <v>0.5</v>
      </c>
      <c r="D53" s="20" t="n">
        <f aca="false">VLOOKUP(A53,Schedule_WBS!$A:$D,4,FALSE())</f>
        <v>20</v>
      </c>
      <c r="E53" s="20" t="n">
        <f aca="false">C53*D53*8</f>
        <v>80</v>
      </c>
      <c r="F53" s="23" t="n">
        <f aca="false">VLOOKUP(B53,Resources!$A:$C,3,FALSE())</f>
        <v>85</v>
      </c>
      <c r="G53" s="23" t="n">
        <f aca="false">E53*F53</f>
        <v>6800</v>
      </c>
    </row>
    <row r="54" customFormat="false" ht="15" hidden="false" customHeight="false" outlineLevel="0" collapsed="false">
      <c r="A54" s="20" t="s">
        <v>534</v>
      </c>
      <c r="B54" s="20" t="s">
        <v>494</v>
      </c>
      <c r="C54" s="22" t="n">
        <v>0.25</v>
      </c>
      <c r="D54" s="20" t="n">
        <f aca="false">VLOOKUP(A54,Schedule_WBS!$A:$D,4,FALSE())</f>
        <v>20</v>
      </c>
      <c r="E54" s="20" t="n">
        <f aca="false">C54*D54*8</f>
        <v>40</v>
      </c>
      <c r="F54" s="23" t="n">
        <f aca="false">VLOOKUP(B54,Resources!$A:$C,3,FALSE())</f>
        <v>95</v>
      </c>
      <c r="G54" s="23" t="n">
        <f aca="false">E54*F54</f>
        <v>3800</v>
      </c>
    </row>
    <row r="55" customFormat="false" ht="15" hidden="false" customHeight="false" outlineLevel="0" collapsed="false">
      <c r="A55" s="20" t="s">
        <v>534</v>
      </c>
      <c r="B55" s="20" t="s">
        <v>858</v>
      </c>
      <c r="C55" s="22" t="n">
        <v>0.5</v>
      </c>
      <c r="D55" s="20" t="n">
        <f aca="false">VLOOKUP(A55,Schedule_WBS!$A:$D,4,FALSE())</f>
        <v>20</v>
      </c>
      <c r="E55" s="20" t="n">
        <f aca="false">C55*D55*8</f>
        <v>80</v>
      </c>
      <c r="F55" s="23" t="n">
        <f aca="false">VLOOKUP(B55,Resources!$A:$C,3,FALSE())</f>
        <v>105</v>
      </c>
      <c r="G55" s="23" t="n">
        <f aca="false">E55*F55</f>
        <v>8400</v>
      </c>
    </row>
    <row r="56" customFormat="false" ht="15" hidden="false" customHeight="false" outlineLevel="0" collapsed="false">
      <c r="A56" s="20" t="s">
        <v>729</v>
      </c>
      <c r="B56" s="20" t="s">
        <v>104</v>
      </c>
      <c r="C56" s="22" t="n">
        <v>1</v>
      </c>
      <c r="D56" s="20" t="n">
        <f aca="false">VLOOKUP(A56,Schedule_WBS!$A:$D,4,FALSE())</f>
        <v>5</v>
      </c>
      <c r="E56" s="20" t="n">
        <f aca="false">C56*D56*8</f>
        <v>40</v>
      </c>
      <c r="F56" s="23" t="n">
        <f aca="false">VLOOKUP(B56,Resources!$A:$C,3,FALSE())</f>
        <v>110</v>
      </c>
      <c r="G56" s="23" t="n">
        <f aca="false">E56*F56</f>
        <v>4400</v>
      </c>
    </row>
    <row r="57" customFormat="false" ht="15" hidden="false" customHeight="false" outlineLevel="0" collapsed="false">
      <c r="A57" s="20" t="s">
        <v>729</v>
      </c>
      <c r="B57" s="20" t="s">
        <v>113</v>
      </c>
      <c r="C57" s="22" t="n">
        <v>0.5</v>
      </c>
      <c r="D57" s="20" t="n">
        <f aca="false">VLOOKUP(A57,Schedule_WBS!$A:$D,4,FALSE())</f>
        <v>5</v>
      </c>
      <c r="E57" s="20" t="n">
        <f aca="false">C57*D57*8</f>
        <v>20</v>
      </c>
      <c r="F57" s="23" t="n">
        <f aca="false">VLOOKUP(B57,Resources!$A:$C,3,FALSE())</f>
        <v>140</v>
      </c>
      <c r="G57" s="23" t="n">
        <f aca="false">E57*F57</f>
        <v>2800</v>
      </c>
    </row>
    <row r="58" customFormat="false" ht="15" hidden="false" customHeight="false" outlineLevel="0" collapsed="false">
      <c r="A58" s="20" t="s">
        <v>729</v>
      </c>
      <c r="B58" s="20" t="s">
        <v>859</v>
      </c>
      <c r="C58" s="22" t="n">
        <v>0.5</v>
      </c>
      <c r="D58" s="20" t="n">
        <f aca="false">VLOOKUP(A58,Schedule_WBS!$A:$D,4,FALSE())</f>
        <v>5</v>
      </c>
      <c r="E58" s="20" t="n">
        <f aca="false">C58*D58*8</f>
        <v>20</v>
      </c>
      <c r="F58" s="23" t="n">
        <f aca="false">VLOOKUP(B58,Resources!$A:$C,3,FALSE())</f>
        <v>85</v>
      </c>
      <c r="G58" s="23" t="n">
        <f aca="false">E58*F58</f>
        <v>1700</v>
      </c>
    </row>
    <row r="59" customFormat="false" ht="15" hidden="false" customHeight="false" outlineLevel="0" collapsed="false">
      <c r="A59" s="20" t="s">
        <v>733</v>
      </c>
      <c r="B59" s="20" t="s">
        <v>859</v>
      </c>
      <c r="C59" s="22" t="n">
        <v>1.5</v>
      </c>
      <c r="D59" s="20" t="n">
        <f aca="false">VLOOKUP(A59,Schedule_WBS!$A:$D,4,FALSE())</f>
        <v>15</v>
      </c>
      <c r="E59" s="20" t="n">
        <f aca="false">C59*D59*8</f>
        <v>180</v>
      </c>
      <c r="F59" s="23" t="n">
        <f aca="false">VLOOKUP(B59,Resources!$A:$C,3,FALSE())</f>
        <v>85</v>
      </c>
      <c r="G59" s="23" t="n">
        <f aca="false">E59*F59</f>
        <v>15300</v>
      </c>
    </row>
    <row r="60" customFormat="false" ht="15" hidden="false" customHeight="false" outlineLevel="0" collapsed="false">
      <c r="A60" s="20" t="s">
        <v>733</v>
      </c>
      <c r="B60" s="20" t="s">
        <v>858</v>
      </c>
      <c r="C60" s="22" t="n">
        <v>1.5</v>
      </c>
      <c r="D60" s="20" t="n">
        <f aca="false">VLOOKUP(A60,Schedule_WBS!$A:$D,4,FALSE())</f>
        <v>15</v>
      </c>
      <c r="E60" s="20" t="n">
        <f aca="false">C60*D60*8</f>
        <v>180</v>
      </c>
      <c r="F60" s="23" t="n">
        <f aca="false">VLOOKUP(B60,Resources!$A:$C,3,FALSE())</f>
        <v>105</v>
      </c>
      <c r="G60" s="23" t="n">
        <f aca="false">E60*F60</f>
        <v>18900</v>
      </c>
    </row>
    <row r="61" customFormat="false" ht="15" hidden="false" customHeight="false" outlineLevel="0" collapsed="false">
      <c r="A61" s="20" t="s">
        <v>736</v>
      </c>
      <c r="B61" s="20" t="s">
        <v>857</v>
      </c>
      <c r="C61" s="22" t="n">
        <v>1</v>
      </c>
      <c r="D61" s="20" t="n">
        <f aca="false">VLOOKUP(A61,Schedule_WBS!$A:$D,4,FALSE())</f>
        <v>10</v>
      </c>
      <c r="E61" s="20" t="n">
        <f aca="false">C61*D61*8</f>
        <v>80</v>
      </c>
      <c r="F61" s="23" t="n">
        <f aca="false">VLOOKUP(B61,Resources!$A:$C,3,FALSE())</f>
        <v>160</v>
      </c>
      <c r="G61" s="23" t="n">
        <f aca="false">E61*F61</f>
        <v>12800</v>
      </c>
    </row>
    <row r="62" customFormat="false" ht="15" hidden="false" customHeight="false" outlineLevel="0" collapsed="false">
      <c r="A62" s="20" t="s">
        <v>736</v>
      </c>
      <c r="B62" s="20" t="s">
        <v>858</v>
      </c>
      <c r="C62" s="22" t="n">
        <v>0.5</v>
      </c>
      <c r="D62" s="20" t="n">
        <f aca="false">VLOOKUP(A62,Schedule_WBS!$A:$D,4,FALSE())</f>
        <v>10</v>
      </c>
      <c r="E62" s="20" t="n">
        <f aca="false">C62*D62*8</f>
        <v>40</v>
      </c>
      <c r="F62" s="23" t="n">
        <f aca="false">VLOOKUP(B62,Resources!$A:$C,3,FALSE())</f>
        <v>105</v>
      </c>
      <c r="G62" s="23" t="n">
        <f aca="false">E62*F62</f>
        <v>4200</v>
      </c>
    </row>
    <row r="63" customFormat="false" ht="15" hidden="false" customHeight="false" outlineLevel="0" collapsed="false">
      <c r="A63" s="20" t="s">
        <v>555</v>
      </c>
      <c r="B63" s="20" t="s">
        <v>158</v>
      </c>
      <c r="C63" s="22" t="n">
        <v>1</v>
      </c>
      <c r="D63" s="20" t="n">
        <f aca="false">VLOOKUP(A63,Schedule_WBS!$A:$D,4,FALSE())</f>
        <v>10</v>
      </c>
      <c r="E63" s="20" t="n">
        <f aca="false">C63*D63*8</f>
        <v>80</v>
      </c>
      <c r="F63" s="23" t="n">
        <f aca="false">VLOOKUP(B63,Resources!$A:$C,3,FALSE())</f>
        <v>95</v>
      </c>
      <c r="G63" s="23" t="n">
        <f aca="false">E63*F63</f>
        <v>7600</v>
      </c>
    </row>
    <row r="64" customFormat="false" ht="15" hidden="false" customHeight="false" outlineLevel="0" collapsed="false">
      <c r="A64" s="20" t="s">
        <v>555</v>
      </c>
      <c r="B64" s="20" t="s">
        <v>859</v>
      </c>
      <c r="C64" s="22" t="n">
        <v>0.5</v>
      </c>
      <c r="D64" s="20" t="n">
        <f aca="false">VLOOKUP(A64,Schedule_WBS!$A:$D,4,FALSE())</f>
        <v>10</v>
      </c>
      <c r="E64" s="20" t="n">
        <f aca="false">C64*D64*8</f>
        <v>40</v>
      </c>
      <c r="F64" s="23" t="n">
        <f aca="false">VLOOKUP(B64,Resources!$A:$C,3,FALSE())</f>
        <v>85</v>
      </c>
      <c r="G64" s="23" t="n">
        <f aca="false">E64*F64</f>
        <v>3400</v>
      </c>
    </row>
    <row r="65" customFormat="false" ht="15" hidden="false" customHeight="false" outlineLevel="0" collapsed="false">
      <c r="A65" s="20" t="s">
        <v>548</v>
      </c>
      <c r="B65" s="20" t="s">
        <v>113</v>
      </c>
      <c r="C65" s="22" t="n">
        <v>0.5</v>
      </c>
      <c r="D65" s="20" t="n">
        <f aca="false">VLOOKUP(A65,Schedule_WBS!$A:$D,4,FALSE())</f>
        <v>10</v>
      </c>
      <c r="E65" s="20" t="n">
        <f aca="false">C65*D65*8</f>
        <v>40</v>
      </c>
      <c r="F65" s="23" t="n">
        <f aca="false">VLOOKUP(B65,Resources!$A:$C,3,FALSE())</f>
        <v>140</v>
      </c>
      <c r="G65" s="23" t="n">
        <f aca="false">E65*F65</f>
        <v>5600</v>
      </c>
    </row>
    <row r="66" customFormat="false" ht="15" hidden="false" customHeight="false" outlineLevel="0" collapsed="false">
      <c r="A66" s="20" t="s">
        <v>548</v>
      </c>
      <c r="B66" s="20" t="s">
        <v>858</v>
      </c>
      <c r="C66" s="22" t="n">
        <v>0.5</v>
      </c>
      <c r="D66" s="20" t="n">
        <f aca="false">VLOOKUP(A66,Schedule_WBS!$A:$D,4,FALSE())</f>
        <v>10</v>
      </c>
      <c r="E66" s="20" t="n">
        <f aca="false">C66*D66*8</f>
        <v>40</v>
      </c>
      <c r="F66" s="23" t="n">
        <f aca="false">VLOOKUP(B66,Resources!$A:$C,3,FALSE())</f>
        <v>105</v>
      </c>
      <c r="G66" s="23" t="n">
        <f aca="false">E66*F66</f>
        <v>4200</v>
      </c>
    </row>
    <row r="67" customFormat="false" ht="15" hidden="false" customHeight="false" outlineLevel="0" collapsed="false">
      <c r="A67" s="20" t="s">
        <v>562</v>
      </c>
      <c r="B67" s="20" t="s">
        <v>859</v>
      </c>
      <c r="C67" s="22" t="n">
        <v>1</v>
      </c>
      <c r="D67" s="20" t="n">
        <f aca="false">VLOOKUP(A67,Schedule_WBS!$A:$D,4,FALSE())</f>
        <v>15</v>
      </c>
      <c r="E67" s="20" t="n">
        <f aca="false">C67*D67*8</f>
        <v>120</v>
      </c>
      <c r="F67" s="23" t="n">
        <f aca="false">VLOOKUP(B67,Resources!$A:$C,3,FALSE())</f>
        <v>85</v>
      </c>
      <c r="G67" s="23" t="n">
        <f aca="false">E67*F67</f>
        <v>10200</v>
      </c>
    </row>
    <row r="68" customFormat="false" ht="15" hidden="false" customHeight="false" outlineLevel="0" collapsed="false">
      <c r="A68" s="20" t="s">
        <v>562</v>
      </c>
      <c r="B68" s="20" t="s">
        <v>494</v>
      </c>
      <c r="C68" s="22" t="n">
        <v>1</v>
      </c>
      <c r="D68" s="20" t="n">
        <f aca="false">VLOOKUP(A68,Schedule_WBS!$A:$D,4,FALSE())</f>
        <v>15</v>
      </c>
      <c r="E68" s="20" t="n">
        <f aca="false">C68*D68*8</f>
        <v>120</v>
      </c>
      <c r="F68" s="23" t="n">
        <f aca="false">VLOOKUP(B68,Resources!$A:$C,3,FALSE())</f>
        <v>95</v>
      </c>
      <c r="G68" s="23" t="n">
        <f aca="false">E68*F68</f>
        <v>11400</v>
      </c>
    </row>
    <row r="69" customFormat="false" ht="15" hidden="false" customHeight="false" outlineLevel="0" collapsed="false">
      <c r="A69" s="20" t="s">
        <v>562</v>
      </c>
      <c r="B69" s="20" t="s">
        <v>166</v>
      </c>
      <c r="C69" s="22" t="n">
        <v>0.5</v>
      </c>
      <c r="D69" s="20" t="n">
        <f aca="false">VLOOKUP(A69,Schedule_WBS!$A:$D,4,FALSE())</f>
        <v>15</v>
      </c>
      <c r="E69" s="20" t="n">
        <f aca="false">C69*D69*8</f>
        <v>60</v>
      </c>
      <c r="F69" s="23" t="n">
        <f aca="false">VLOOKUP(B69,Resources!$A:$C,3,FALSE())</f>
        <v>90</v>
      </c>
      <c r="G69" s="23" t="n">
        <f aca="false">E69*F69</f>
        <v>5400</v>
      </c>
    </row>
    <row r="70" customFormat="false" ht="15" hidden="false" customHeight="false" outlineLevel="0" collapsed="false">
      <c r="A70" s="20" t="s">
        <v>567</v>
      </c>
      <c r="B70" s="20" t="s">
        <v>858</v>
      </c>
      <c r="C70" s="22" t="n">
        <v>2</v>
      </c>
      <c r="D70" s="20" t="n">
        <f aca="false">VLOOKUP(A70,Schedule_WBS!$A:$D,4,FALSE())</f>
        <v>8</v>
      </c>
      <c r="E70" s="20" t="n">
        <f aca="false">C70*D70*8</f>
        <v>128</v>
      </c>
      <c r="F70" s="23" t="n">
        <f aca="false">VLOOKUP(B70,Resources!$A:$C,3,FALSE())</f>
        <v>105</v>
      </c>
      <c r="G70" s="23" t="n">
        <f aca="false">E70*F70</f>
        <v>13440</v>
      </c>
    </row>
    <row r="71" customFormat="false" ht="15" hidden="false" customHeight="false" outlineLevel="0" collapsed="false">
      <c r="A71" s="20" t="s">
        <v>567</v>
      </c>
      <c r="B71" s="20" t="s">
        <v>859</v>
      </c>
      <c r="C71" s="22" t="n">
        <v>0.5</v>
      </c>
      <c r="D71" s="20" t="n">
        <f aca="false">VLOOKUP(A71,Schedule_WBS!$A:$D,4,FALSE())</f>
        <v>8</v>
      </c>
      <c r="E71" s="20" t="n">
        <f aca="false">C71*D71*8</f>
        <v>32</v>
      </c>
      <c r="F71" s="23" t="n">
        <f aca="false">VLOOKUP(B71,Resources!$A:$C,3,FALSE())</f>
        <v>85</v>
      </c>
      <c r="G71" s="23" t="n">
        <f aca="false">E71*F71</f>
        <v>2720</v>
      </c>
    </row>
    <row r="72" customFormat="false" ht="15" hidden="false" customHeight="false" outlineLevel="0" collapsed="false">
      <c r="A72" s="20" t="s">
        <v>747</v>
      </c>
      <c r="B72" s="20" t="s">
        <v>166</v>
      </c>
      <c r="C72" s="22" t="n">
        <v>1</v>
      </c>
      <c r="D72" s="20" t="n">
        <f aca="false">VLOOKUP(A72,Schedule_WBS!$A:$D,4,FALSE())</f>
        <v>20</v>
      </c>
      <c r="E72" s="20" t="n">
        <f aca="false">C72*D72*8</f>
        <v>160</v>
      </c>
      <c r="F72" s="23" t="n">
        <f aca="false">VLOOKUP(B72,Resources!$A:$C,3,FALSE())</f>
        <v>90</v>
      </c>
      <c r="G72" s="23" t="n">
        <f aca="false">E72*F72</f>
        <v>14400</v>
      </c>
    </row>
    <row r="73" customFormat="false" ht="15" hidden="false" customHeight="false" outlineLevel="0" collapsed="false">
      <c r="A73" s="20" t="s">
        <v>195</v>
      </c>
      <c r="B73" s="20" t="s">
        <v>166</v>
      </c>
      <c r="C73" s="22" t="n">
        <v>0.5</v>
      </c>
      <c r="D73" s="20" t="n">
        <f aca="false">VLOOKUP(A73,Schedule_WBS!$A:$D,4,FALSE())</f>
        <v>10</v>
      </c>
      <c r="E73" s="20" t="n">
        <f aca="false">C73*D73*8</f>
        <v>40</v>
      </c>
      <c r="F73" s="23" t="n">
        <f aca="false">VLOOKUP(B73,Resources!$A:$C,3,FALSE())</f>
        <v>90</v>
      </c>
      <c r="G73" s="23" t="n">
        <f aca="false">E73*F73</f>
        <v>3600</v>
      </c>
    </row>
    <row r="74" customFormat="false" ht="15" hidden="false" customHeight="false" outlineLevel="0" collapsed="false">
      <c r="A74" s="20" t="s">
        <v>195</v>
      </c>
      <c r="B74" s="20" t="s">
        <v>494</v>
      </c>
      <c r="C74" s="22" t="n">
        <v>0.5</v>
      </c>
      <c r="D74" s="20" t="n">
        <f aca="false">VLOOKUP(A74,Schedule_WBS!$A:$D,4,FALSE())</f>
        <v>10</v>
      </c>
      <c r="E74" s="20" t="n">
        <f aca="false">C74*D74*8</f>
        <v>40</v>
      </c>
      <c r="F74" s="23" t="n">
        <f aca="false">VLOOKUP(B74,Resources!$A:$C,3,FALSE())</f>
        <v>95</v>
      </c>
      <c r="G74" s="23" t="n">
        <f aca="false">E74*F74</f>
        <v>3800</v>
      </c>
    </row>
    <row r="75" customFormat="false" ht="15" hidden="false" customHeight="false" outlineLevel="0" collapsed="false">
      <c r="A75" s="20" t="s">
        <v>195</v>
      </c>
      <c r="B75" s="20" t="s">
        <v>858</v>
      </c>
      <c r="C75" s="22" t="n">
        <v>1</v>
      </c>
      <c r="D75" s="20" t="n">
        <f aca="false">VLOOKUP(A75,Schedule_WBS!$A:$D,4,FALSE())</f>
        <v>10</v>
      </c>
      <c r="E75" s="20" t="n">
        <f aca="false">C75*D75*8</f>
        <v>80</v>
      </c>
      <c r="F75" s="23" t="n">
        <f aca="false">VLOOKUP(B75,Resources!$A:$C,3,FALSE())</f>
        <v>105</v>
      </c>
      <c r="G75" s="23" t="n">
        <f aca="false">E75*F75</f>
        <v>8400</v>
      </c>
    </row>
    <row r="76" customFormat="false" ht="15" hidden="false" customHeight="false" outlineLevel="0" collapsed="false">
      <c r="A76" s="20" t="s">
        <v>172</v>
      </c>
      <c r="B76" s="20" t="s">
        <v>113</v>
      </c>
      <c r="C76" s="22" t="n">
        <v>1</v>
      </c>
      <c r="D76" s="20" t="n">
        <f aca="false">VLOOKUP(A76,Schedule_WBS!$A:$D,4,FALSE())</f>
        <v>5</v>
      </c>
      <c r="E76" s="20" t="n">
        <f aca="false">C76*D76*8</f>
        <v>40</v>
      </c>
      <c r="F76" s="23" t="n">
        <f aca="false">VLOOKUP(B76,Resources!$A:$C,3,FALSE())</f>
        <v>140</v>
      </c>
      <c r="G76" s="23" t="n">
        <f aca="false">E76*F76</f>
        <v>5600</v>
      </c>
    </row>
    <row r="77" customFormat="false" ht="15" hidden="false" customHeight="false" outlineLevel="0" collapsed="false">
      <c r="A77" s="20" t="s">
        <v>172</v>
      </c>
      <c r="B77" s="20" t="s">
        <v>858</v>
      </c>
      <c r="C77" s="22" t="n">
        <v>2</v>
      </c>
      <c r="D77" s="20" t="n">
        <f aca="false">VLOOKUP(A77,Schedule_WBS!$A:$D,4,FALSE())</f>
        <v>5</v>
      </c>
      <c r="E77" s="20" t="n">
        <f aca="false">C77*D77*8</f>
        <v>80</v>
      </c>
      <c r="F77" s="23" t="n">
        <f aca="false">VLOOKUP(B77,Resources!$A:$C,3,FALSE())</f>
        <v>105</v>
      </c>
      <c r="G77" s="23" t="n">
        <f aca="false">E77*F77</f>
        <v>8400</v>
      </c>
    </row>
    <row r="78" customFormat="false" ht="15" hidden="false" customHeight="false" outlineLevel="0" collapsed="false">
      <c r="A78" s="20" t="s">
        <v>172</v>
      </c>
      <c r="B78" s="20" t="s">
        <v>104</v>
      </c>
      <c r="C78" s="22" t="n">
        <v>0.5</v>
      </c>
      <c r="D78" s="20" t="n">
        <f aca="false">VLOOKUP(A78,Schedule_WBS!$A:$D,4,FALSE())</f>
        <v>5</v>
      </c>
      <c r="E78" s="20" t="n">
        <f aca="false">C78*D78*8</f>
        <v>20</v>
      </c>
      <c r="F78" s="23" t="n">
        <f aca="false">VLOOKUP(B78,Resources!$A:$C,3,FALSE())</f>
        <v>110</v>
      </c>
      <c r="G78" s="23" t="n">
        <f aca="false">E78*F78</f>
        <v>2200</v>
      </c>
    </row>
    <row r="79" customFormat="false" ht="15" hidden="false" customHeight="false" outlineLevel="0" collapsed="false">
      <c r="A79" s="20" t="s">
        <v>172</v>
      </c>
      <c r="B79" s="20" t="s">
        <v>129</v>
      </c>
      <c r="C79" s="22" t="n">
        <v>0.5</v>
      </c>
      <c r="D79" s="20" t="n">
        <f aca="false">VLOOKUP(A79,Schedule_WBS!$A:$D,4,FALSE())</f>
        <v>5</v>
      </c>
      <c r="E79" s="20" t="n">
        <f aca="false">C79*D79*8</f>
        <v>20</v>
      </c>
      <c r="F79" s="23" t="n">
        <f aca="false">VLOOKUP(B79,Resources!$A:$C,3,FALSE())</f>
        <v>120</v>
      </c>
      <c r="G79" s="23" t="n">
        <f aca="false">E79*F79</f>
        <v>2400</v>
      </c>
    </row>
    <row r="80" customFormat="false" ht="15" hidden="false" customHeight="false" outlineLevel="0" collapsed="false">
      <c r="A80" s="20" t="s">
        <v>540</v>
      </c>
      <c r="B80" s="20" t="s">
        <v>858</v>
      </c>
      <c r="C80" s="22" t="n">
        <v>2</v>
      </c>
      <c r="D80" s="20" t="n">
        <f aca="false">VLOOKUP(A80,Schedule_WBS!$A:$D,4,FALSE())</f>
        <v>20</v>
      </c>
      <c r="E80" s="20" t="n">
        <f aca="false">C80*D80*8</f>
        <v>320</v>
      </c>
      <c r="F80" s="23" t="n">
        <f aca="false">VLOOKUP(B80,Resources!$A:$C,3,FALSE())</f>
        <v>105</v>
      </c>
      <c r="G80" s="23" t="n">
        <f aca="false">E80*F80</f>
        <v>33600</v>
      </c>
    </row>
    <row r="81" customFormat="false" ht="15" hidden="false" customHeight="false" outlineLevel="0" collapsed="false">
      <c r="A81" s="20" t="s">
        <v>540</v>
      </c>
      <c r="B81" s="20" t="s">
        <v>166</v>
      </c>
      <c r="C81" s="22" t="n">
        <v>0.5</v>
      </c>
      <c r="D81" s="20" t="n">
        <f aca="false">VLOOKUP(A81,Schedule_WBS!$A:$D,4,FALSE())</f>
        <v>20</v>
      </c>
      <c r="E81" s="20" t="n">
        <f aca="false">C81*D81*8</f>
        <v>80</v>
      </c>
      <c r="F81" s="23" t="n">
        <f aca="false">VLOOKUP(B81,Resources!$A:$C,3,FALSE())</f>
        <v>90</v>
      </c>
      <c r="G81" s="23" t="n">
        <f aca="false">E81*F81</f>
        <v>7200</v>
      </c>
    </row>
    <row r="82" customFormat="false" ht="15" hidden="false" customHeight="false" outlineLevel="0" collapsed="false">
      <c r="A82" s="20" t="s">
        <v>540</v>
      </c>
      <c r="B82" s="20" t="s">
        <v>859</v>
      </c>
      <c r="C82" s="22" t="n">
        <v>0.5</v>
      </c>
      <c r="D82" s="20" t="n">
        <f aca="false">VLOOKUP(A82,Schedule_WBS!$A:$D,4,FALSE())</f>
        <v>20</v>
      </c>
      <c r="E82" s="20" t="n">
        <f aca="false">C82*D82*8</f>
        <v>80</v>
      </c>
      <c r="F82" s="23" t="n">
        <f aca="false">VLOOKUP(B82,Resources!$A:$C,3,FALSE())</f>
        <v>85</v>
      </c>
      <c r="G82" s="23" t="n">
        <f aca="false">E82*F82</f>
        <v>6800</v>
      </c>
    </row>
    <row r="83" customFormat="false" ht="15" hidden="false" customHeight="false" outlineLevel="0" collapsed="false">
      <c r="A83" s="20" t="s">
        <v>760</v>
      </c>
      <c r="B83" s="20" t="s">
        <v>113</v>
      </c>
      <c r="C83" s="22" t="n">
        <v>0.5</v>
      </c>
      <c r="D83" s="20" t="n">
        <f aca="false">VLOOKUP(A83,Schedule_WBS!$A:$D,4,FALSE())</f>
        <v>10</v>
      </c>
      <c r="E83" s="20" t="n">
        <f aca="false">C83*D83*8</f>
        <v>40</v>
      </c>
      <c r="F83" s="23" t="n">
        <f aca="false">VLOOKUP(B83,Resources!$A:$C,3,FALSE())</f>
        <v>140</v>
      </c>
      <c r="G83" s="23" t="n">
        <f aca="false">E83*F83</f>
        <v>5600</v>
      </c>
    </row>
    <row r="84" customFormat="false" ht="15" hidden="false" customHeight="false" outlineLevel="0" collapsed="false">
      <c r="A84" s="20" t="s">
        <v>760</v>
      </c>
      <c r="B84" s="20" t="s">
        <v>104</v>
      </c>
      <c r="C84" s="22" t="n">
        <v>0.5</v>
      </c>
      <c r="D84" s="20" t="n">
        <f aca="false">VLOOKUP(A84,Schedule_WBS!$A:$D,4,FALSE())</f>
        <v>10</v>
      </c>
      <c r="E84" s="20" t="n">
        <f aca="false">C84*D84*8</f>
        <v>40</v>
      </c>
      <c r="F84" s="23" t="n">
        <f aca="false">VLOOKUP(B84,Resources!$A:$C,3,FALSE())</f>
        <v>110</v>
      </c>
      <c r="G84" s="23" t="n">
        <f aca="false">E84*F84</f>
        <v>4400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18.55" hidden="false" customHeight="false" outlineLevel="0" collapsed="false">
      <c r="A1" s="19" t="s">
        <v>860</v>
      </c>
    </row>
    <row r="2" customFormat="false" ht="15" hidden="false" customHeight="false" outlineLevel="0" collapsed="false">
      <c r="A2" s="7" t="s">
        <v>222</v>
      </c>
    </row>
    <row r="4" customFormat="false" ht="31.5" hidden="false" customHeight="true" outlineLevel="0" collapsed="false">
      <c r="A4" s="3" t="s">
        <v>312</v>
      </c>
      <c r="B4" s="3" t="s">
        <v>861</v>
      </c>
      <c r="C4" s="3" t="s">
        <v>862</v>
      </c>
      <c r="D4" s="3" t="s">
        <v>79</v>
      </c>
      <c r="E4" s="3" t="s">
        <v>863</v>
      </c>
      <c r="F4" s="3" t="s">
        <v>864</v>
      </c>
    </row>
    <row r="5" customFormat="false" ht="15" hidden="false" customHeight="false" outlineLevel="0" collapsed="false">
      <c r="A5" s="20" t="s">
        <v>129</v>
      </c>
      <c r="B5" s="20" t="n">
        <v>1</v>
      </c>
      <c r="C5" s="23" t="n">
        <v>120</v>
      </c>
      <c r="D5" s="20" t="s">
        <v>865</v>
      </c>
      <c r="E5" s="28" t="n">
        <f aca="false">SUMIF(Assignments!$B:$B,A5,Assignments!$E:$E)</f>
        <v>776</v>
      </c>
      <c r="F5" s="23" t="n">
        <f aca="false">SUMIF(Assignments!$B:$B,A5,Assignments!$G:$G)</f>
        <v>93120</v>
      </c>
    </row>
    <row r="6" customFormat="false" ht="15" hidden="false" customHeight="false" outlineLevel="0" collapsed="false">
      <c r="A6" s="20" t="s">
        <v>494</v>
      </c>
      <c r="B6" s="20" t="n">
        <v>1</v>
      </c>
      <c r="C6" s="23" t="n">
        <v>95</v>
      </c>
      <c r="D6" s="20" t="s">
        <v>865</v>
      </c>
      <c r="E6" s="28" t="n">
        <f aca="false">SUMIF(Assignments!$B:$B,A6,Assignments!$E:$E)</f>
        <v>928</v>
      </c>
      <c r="F6" s="23" t="n">
        <f aca="false">SUMIF(Assignments!$B:$B,A6,Assignments!$G:$G)</f>
        <v>88160</v>
      </c>
    </row>
    <row r="7" customFormat="false" ht="15" hidden="false" customHeight="false" outlineLevel="0" collapsed="false">
      <c r="A7" s="20" t="s">
        <v>113</v>
      </c>
      <c r="B7" s="20" t="n">
        <v>1</v>
      </c>
      <c r="C7" s="23" t="n">
        <v>140</v>
      </c>
      <c r="D7" s="20" t="s">
        <v>865</v>
      </c>
      <c r="E7" s="28" t="n">
        <f aca="false">SUMIF(Assignments!$B:$B,A7,Assignments!$E:$E)</f>
        <v>336</v>
      </c>
      <c r="F7" s="23" t="n">
        <f aca="false">SUMIF(Assignments!$B:$B,A7,Assignments!$G:$G)</f>
        <v>47040</v>
      </c>
    </row>
    <row r="8" customFormat="false" ht="15" hidden="false" customHeight="false" outlineLevel="0" collapsed="false">
      <c r="A8" s="20" t="s">
        <v>858</v>
      </c>
      <c r="B8" s="20" t="n">
        <v>3</v>
      </c>
      <c r="C8" s="23" t="n">
        <v>105</v>
      </c>
      <c r="D8" s="20" t="s">
        <v>865</v>
      </c>
      <c r="E8" s="28" t="n">
        <f aca="false">SUMIF(Assignments!$B:$B,A8,Assignments!$E:$E)</f>
        <v>1848</v>
      </c>
      <c r="F8" s="23" t="n">
        <f aca="false">SUMIF(Assignments!$B:$B,A8,Assignments!$G:$G)</f>
        <v>194040</v>
      </c>
    </row>
    <row r="9" customFormat="false" ht="15" hidden="false" customHeight="false" outlineLevel="0" collapsed="false">
      <c r="A9" s="20" t="s">
        <v>104</v>
      </c>
      <c r="B9" s="20" t="n">
        <v>1</v>
      </c>
      <c r="C9" s="23" t="n">
        <v>110</v>
      </c>
      <c r="D9" s="20" t="s">
        <v>865</v>
      </c>
      <c r="E9" s="28" t="n">
        <f aca="false">SUMIF(Assignments!$B:$B,A9,Assignments!$E:$E)</f>
        <v>500</v>
      </c>
      <c r="F9" s="23" t="n">
        <f aca="false">SUMIF(Assignments!$B:$B,A9,Assignments!$G:$G)</f>
        <v>55000</v>
      </c>
    </row>
    <row r="10" customFormat="false" ht="15" hidden="false" customHeight="false" outlineLevel="0" collapsed="false">
      <c r="A10" s="20" t="s">
        <v>859</v>
      </c>
      <c r="B10" s="20" t="n">
        <v>2</v>
      </c>
      <c r="C10" s="23" t="n">
        <v>85</v>
      </c>
      <c r="D10" s="20" t="s">
        <v>865</v>
      </c>
      <c r="E10" s="28" t="n">
        <f aca="false">SUMIF(Assignments!$B:$B,A10,Assignments!$E:$E)</f>
        <v>932</v>
      </c>
      <c r="F10" s="23" t="n">
        <f aca="false">SUMIF(Assignments!$B:$B,A10,Assignments!$G:$G)</f>
        <v>79220</v>
      </c>
    </row>
    <row r="11" customFormat="false" ht="15" hidden="false" customHeight="false" outlineLevel="0" collapsed="false">
      <c r="A11" s="20" t="s">
        <v>158</v>
      </c>
      <c r="B11" s="20" t="n">
        <v>1</v>
      </c>
      <c r="C11" s="23" t="n">
        <v>95</v>
      </c>
      <c r="D11" s="20" t="s">
        <v>865</v>
      </c>
      <c r="E11" s="28" t="n">
        <f aca="false">SUMIF(Assignments!$B:$B,A11,Assignments!$E:$E)</f>
        <v>400</v>
      </c>
      <c r="F11" s="23" t="n">
        <f aca="false">SUMIF(Assignments!$B:$B,A11,Assignments!$G:$G)</f>
        <v>38000</v>
      </c>
    </row>
    <row r="12" customFormat="false" ht="15" hidden="false" customHeight="false" outlineLevel="0" collapsed="false">
      <c r="A12" s="20" t="s">
        <v>166</v>
      </c>
      <c r="B12" s="20" t="n">
        <v>1</v>
      </c>
      <c r="C12" s="23" t="n">
        <v>90</v>
      </c>
      <c r="D12" s="20" t="s">
        <v>865</v>
      </c>
      <c r="E12" s="28" t="n">
        <f aca="false">SUMIF(Assignments!$B:$B,A12,Assignments!$E:$E)</f>
        <v>380</v>
      </c>
      <c r="F12" s="23" t="n">
        <f aca="false">SUMIF(Assignments!$B:$B,A12,Assignments!$G:$G)</f>
        <v>34200</v>
      </c>
    </row>
    <row r="13" customFormat="false" ht="15" hidden="false" customHeight="false" outlineLevel="0" collapsed="false">
      <c r="A13" s="20" t="s">
        <v>857</v>
      </c>
      <c r="B13" s="20" t="n">
        <v>1</v>
      </c>
      <c r="C13" s="23" t="n">
        <v>160</v>
      </c>
      <c r="D13" s="20" t="s">
        <v>866</v>
      </c>
      <c r="E13" s="28" t="n">
        <f aca="false">SUMIF(Assignments!$B:$B,A13,Assignments!$E:$E)</f>
        <v>140</v>
      </c>
      <c r="F13" s="23" t="n">
        <f aca="false">SUMIF(Assignments!$B:$B,A13,Assignments!$G:$G)</f>
        <v>22400</v>
      </c>
    </row>
    <row r="14" customFormat="false" ht="15" hidden="false" customHeight="false" outlineLevel="0" collapsed="false">
      <c r="A14" s="32" t="s">
        <v>867</v>
      </c>
      <c r="B14" s="20"/>
      <c r="C14" s="20"/>
      <c r="D14" s="20"/>
      <c r="E14" s="28" t="n">
        <f aca="false">SUM(E5:E13)</f>
        <v>6240</v>
      </c>
      <c r="F14" s="23" t="n">
        <f aca="false">SUM(F5:F13)</f>
        <v>651180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11" min="7" style="0" width="14"/>
    <col collapsed="false" customWidth="true" hidden="false" outlineLevel="0" max="13" min="13" style="0" width="14"/>
    <col collapsed="false" customWidth="true" hidden="false" outlineLevel="0" max="14" min="14" style="0" width="22"/>
  </cols>
  <sheetData>
    <row r="1" customFormat="false" ht="18.55" hidden="false" customHeight="false" outlineLevel="0" collapsed="false">
      <c r="A1" s="19" t="s">
        <v>868</v>
      </c>
    </row>
    <row r="2" customFormat="false" ht="15" hidden="false" customHeight="false" outlineLevel="0" collapsed="false">
      <c r="A2" s="7" t="s">
        <v>222</v>
      </c>
    </row>
    <row r="4" customFormat="false" ht="31.5" hidden="false" customHeight="true" outlineLevel="0" collapsed="false">
      <c r="A4" s="3" t="s">
        <v>869</v>
      </c>
      <c r="B4" s="3" t="s">
        <v>870</v>
      </c>
      <c r="C4" s="3" t="s">
        <v>871</v>
      </c>
      <c r="D4" s="3" t="s">
        <v>94</v>
      </c>
      <c r="G4" s="6" t="s">
        <v>87</v>
      </c>
      <c r="H4" s="6" t="s">
        <v>50</v>
      </c>
      <c r="I4" s="6" t="s">
        <v>594</v>
      </c>
      <c r="J4" s="6" t="s">
        <v>53</v>
      </c>
      <c r="K4" s="6" t="s">
        <v>872</v>
      </c>
      <c r="M4" s="6" t="s">
        <v>873</v>
      </c>
    </row>
    <row r="5" customFormat="false" ht="15" hidden="false" customHeight="false" outlineLevel="0" collapsed="false">
      <c r="A5" s="20" t="n">
        <v>1</v>
      </c>
      <c r="B5" s="20" t="s">
        <v>874</v>
      </c>
      <c r="C5" s="20" t="s">
        <v>875</v>
      </c>
      <c r="D5" s="22" t="n">
        <v>0.05</v>
      </c>
      <c r="G5" s="0" t="s">
        <v>130</v>
      </c>
      <c r="H5" s="0" t="s">
        <v>124</v>
      </c>
      <c r="I5" s="0" t="s">
        <v>621</v>
      </c>
      <c r="J5" s="0" t="s">
        <v>24</v>
      </c>
      <c r="K5" s="0" t="s">
        <v>501</v>
      </c>
      <c r="M5" s="45" t="n">
        <v>46300</v>
      </c>
      <c r="N5" s="0" t="s">
        <v>876</v>
      </c>
    </row>
    <row r="6" customFormat="false" ht="15" hidden="false" customHeight="false" outlineLevel="0" collapsed="false">
      <c r="A6" s="20" t="n">
        <v>2</v>
      </c>
      <c r="B6" s="20" t="s">
        <v>877</v>
      </c>
      <c r="C6" s="20" t="s">
        <v>878</v>
      </c>
      <c r="D6" s="22" t="n">
        <v>0.15</v>
      </c>
      <c r="G6" s="0" t="s">
        <v>105</v>
      </c>
      <c r="H6" s="0" t="s">
        <v>665</v>
      </c>
      <c r="I6" s="0" t="s">
        <v>608</v>
      </c>
      <c r="J6" s="0" t="s">
        <v>26</v>
      </c>
      <c r="K6" s="0" t="s">
        <v>500</v>
      </c>
      <c r="M6" s="45" t="n">
        <v>46380</v>
      </c>
      <c r="N6" s="0" t="s">
        <v>879</v>
      </c>
    </row>
    <row r="7" customFormat="false" ht="15" hidden="false" customHeight="false" outlineLevel="0" collapsed="false">
      <c r="A7" s="20" t="n">
        <v>3</v>
      </c>
      <c r="B7" s="20" t="s">
        <v>880</v>
      </c>
      <c r="C7" s="20" t="s">
        <v>881</v>
      </c>
      <c r="D7" s="22" t="n">
        <v>0.4</v>
      </c>
      <c r="G7" s="0" t="s">
        <v>174</v>
      </c>
      <c r="H7" s="0" t="s">
        <v>659</v>
      </c>
      <c r="I7" s="0" t="s">
        <v>882</v>
      </c>
      <c r="J7" s="0" t="s">
        <v>28</v>
      </c>
      <c r="K7" s="0" t="s">
        <v>502</v>
      </c>
      <c r="M7" s="45" t="n">
        <v>46381</v>
      </c>
      <c r="N7" s="0" t="s">
        <v>883</v>
      </c>
    </row>
    <row r="8" customFormat="false" ht="15" hidden="false" customHeight="false" outlineLevel="0" collapsed="false">
      <c r="A8" s="20" t="n">
        <v>4</v>
      </c>
      <c r="B8" s="20" t="s">
        <v>884</v>
      </c>
      <c r="C8" s="20" t="s">
        <v>885</v>
      </c>
      <c r="D8" s="22" t="n">
        <v>0.65</v>
      </c>
      <c r="G8" s="0" t="s">
        <v>196</v>
      </c>
      <c r="H8" s="0" t="s">
        <v>561</v>
      </c>
      <c r="I8" s="0" t="s">
        <v>886</v>
      </c>
      <c r="J8" s="0" t="s">
        <v>547</v>
      </c>
      <c r="K8" s="0" t="s">
        <v>84</v>
      </c>
      <c r="M8" s="45" t="n">
        <v>46384</v>
      </c>
      <c r="N8" s="0" t="s">
        <v>887</v>
      </c>
    </row>
    <row r="9" customFormat="false" ht="15" hidden="false" customHeight="false" outlineLevel="0" collapsed="false">
      <c r="A9" s="20" t="n">
        <v>5</v>
      </c>
      <c r="B9" s="20" t="s">
        <v>888</v>
      </c>
      <c r="C9" s="20" t="s">
        <v>889</v>
      </c>
      <c r="D9" s="22" t="n">
        <v>0.9</v>
      </c>
      <c r="G9" s="0" t="s">
        <v>189</v>
      </c>
      <c r="H9" s="0" t="s">
        <v>890</v>
      </c>
      <c r="M9" s="45" t="n">
        <v>46385</v>
      </c>
      <c r="N9" s="0" t="s">
        <v>879</v>
      </c>
    </row>
    <row r="10" customFormat="false" ht="15" hidden="false" customHeight="false" outlineLevel="0" collapsed="false">
      <c r="G10" s="0" t="s">
        <v>891</v>
      </c>
      <c r="M10" s="45" t="n">
        <v>46386</v>
      </c>
      <c r="N10" s="0" t="s">
        <v>879</v>
      </c>
    </row>
    <row r="11" customFormat="false" ht="31.5" hidden="false" customHeight="true" outlineLevel="0" collapsed="false">
      <c r="A11" s="3" t="s">
        <v>639</v>
      </c>
      <c r="B11" s="3" t="s">
        <v>870</v>
      </c>
      <c r="C11" s="3" t="s">
        <v>892</v>
      </c>
      <c r="D11" s="3" t="s">
        <v>126</v>
      </c>
      <c r="E11" s="3" t="s">
        <v>893</v>
      </c>
      <c r="G11" s="0" t="s">
        <v>894</v>
      </c>
      <c r="M11" s="45" t="n">
        <v>46387</v>
      </c>
      <c r="N11" s="0" t="s">
        <v>879</v>
      </c>
    </row>
    <row r="12" customFormat="false" ht="15" hidden="false" customHeight="false" outlineLevel="0" collapsed="false">
      <c r="A12" s="20" t="n">
        <v>1</v>
      </c>
      <c r="B12" s="20" t="s">
        <v>895</v>
      </c>
      <c r="C12" s="20" t="s">
        <v>896</v>
      </c>
      <c r="D12" s="5" t="s">
        <v>897</v>
      </c>
      <c r="E12" s="5" t="s">
        <v>898</v>
      </c>
      <c r="M12" s="45" t="n">
        <v>46388</v>
      </c>
      <c r="N12" s="0" t="s">
        <v>899</v>
      </c>
    </row>
    <row r="13" customFormat="false" ht="15" hidden="false" customHeight="false" outlineLevel="0" collapsed="false">
      <c r="A13" s="20" t="n">
        <v>2</v>
      </c>
      <c r="B13" s="20" t="s">
        <v>900</v>
      </c>
      <c r="C13" s="20" t="s">
        <v>901</v>
      </c>
      <c r="D13" s="5" t="s">
        <v>902</v>
      </c>
      <c r="E13" s="5" t="s">
        <v>903</v>
      </c>
      <c r="M13" s="45" t="n">
        <v>46413</v>
      </c>
      <c r="N13" s="0" t="s">
        <v>904</v>
      </c>
    </row>
    <row r="14" customFormat="false" ht="15" hidden="false" customHeight="false" outlineLevel="0" collapsed="false">
      <c r="A14" s="20" t="n">
        <v>3</v>
      </c>
      <c r="B14" s="20" t="s">
        <v>905</v>
      </c>
      <c r="C14" s="20" t="s">
        <v>906</v>
      </c>
      <c r="D14" s="5" t="s">
        <v>907</v>
      </c>
      <c r="E14" s="5" t="s">
        <v>908</v>
      </c>
      <c r="M14" s="45" t="n">
        <v>46472</v>
      </c>
      <c r="N14" s="0" t="s">
        <v>909</v>
      </c>
    </row>
    <row r="15" customFormat="false" ht="15" hidden="false" customHeight="false" outlineLevel="0" collapsed="false">
      <c r="A15" s="20" t="n">
        <v>4</v>
      </c>
      <c r="B15" s="20" t="s">
        <v>910</v>
      </c>
      <c r="C15" s="20" t="s">
        <v>911</v>
      </c>
      <c r="D15" s="5" t="s">
        <v>912</v>
      </c>
      <c r="E15" s="5" t="s">
        <v>913</v>
      </c>
      <c r="M15" s="45" t="n">
        <v>46475</v>
      </c>
      <c r="N15" s="0" t="s">
        <v>914</v>
      </c>
    </row>
    <row r="16" customFormat="false" ht="23.85" hidden="false" customHeight="false" outlineLevel="0" collapsed="false">
      <c r="A16" s="20" t="n">
        <v>5</v>
      </c>
      <c r="B16" s="20" t="s">
        <v>915</v>
      </c>
      <c r="C16" s="20" t="s">
        <v>916</v>
      </c>
      <c r="D16" s="5" t="s">
        <v>917</v>
      </c>
      <c r="E16" s="5" t="s">
        <v>918</v>
      </c>
    </row>
    <row r="18" customFormat="false" ht="31.5" hidden="false" customHeight="true" outlineLevel="0" collapsed="false">
      <c r="A18" s="3" t="s">
        <v>70</v>
      </c>
      <c r="B18" s="3" t="s">
        <v>919</v>
      </c>
      <c r="C18" s="3" t="s">
        <v>920</v>
      </c>
      <c r="D18" s="3" t="s">
        <v>921</v>
      </c>
    </row>
    <row r="19" customFormat="false" ht="15" hidden="false" customHeight="false" outlineLevel="0" collapsed="false">
      <c r="A19" s="20" t="s">
        <v>76</v>
      </c>
      <c r="B19" s="20" t="n">
        <v>1</v>
      </c>
      <c r="C19" s="20" t="n">
        <v>4</v>
      </c>
      <c r="D19" s="20" t="s">
        <v>922</v>
      </c>
    </row>
    <row r="20" customFormat="false" ht="15" hidden="false" customHeight="false" outlineLevel="0" collapsed="false">
      <c r="A20" s="20" t="s">
        <v>75</v>
      </c>
      <c r="B20" s="20" t="n">
        <v>5</v>
      </c>
      <c r="C20" s="20" t="n">
        <v>9</v>
      </c>
      <c r="D20" s="20" t="s">
        <v>923</v>
      </c>
    </row>
    <row r="21" customFormat="false" ht="15" hidden="false" customHeight="false" outlineLevel="0" collapsed="false">
      <c r="A21" s="20" t="s">
        <v>74</v>
      </c>
      <c r="B21" s="20" t="n">
        <v>10</v>
      </c>
      <c r="C21" s="20" t="n">
        <v>16</v>
      </c>
      <c r="D21" s="20" t="s">
        <v>924</v>
      </c>
    </row>
    <row r="22" customFormat="false" ht="15" hidden="false" customHeight="false" outlineLevel="0" collapsed="false">
      <c r="A22" s="20" t="s">
        <v>73</v>
      </c>
      <c r="B22" s="20" t="n">
        <v>20</v>
      </c>
      <c r="C22" s="20" t="n">
        <v>25</v>
      </c>
      <c r="D22" s="20" t="s">
        <v>925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2026-09-27T07:27:42Z</dcterms:created>
  <dc:creator>openpyxl</dc:creator>
  <dc:description/>
  <dc:language>en-US</dc:language>
  <cp:lastModifiedBy/>
  <dcterms:modified xsi:type="dcterms:W3CDTF">2026-09-27T07:27:42Z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